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H-Ok ALe\Downloads\"/>
    </mc:Choice>
  </mc:AlternateContent>
  <xr:revisionPtr revIDLastSave="0" documentId="13_ncr:1_{4B34EBFE-BEB8-46E8-A38C-32EDB40ABEC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mployees" sheetId="1" r:id="rId1"/>
    <sheet name="Match and Index" sheetId="2" r:id="rId2"/>
  </sheets>
  <definedNames>
    <definedName name="Emp_Type">Employees!$N$2:$O$8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22" i="2"/>
  <c r="C21" i="2"/>
  <c r="P14" i="1"/>
  <c r="S5" i="1"/>
  <c r="S4" i="1"/>
  <c r="F8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J4" i="1"/>
  <c r="J5" i="1"/>
  <c r="J6" i="1"/>
  <c r="J3" i="1"/>
</calcChain>
</file>

<file path=xl/sharedStrings.xml><?xml version="1.0" encoding="utf-8"?>
<sst xmlns="http://schemas.openxmlformats.org/spreadsheetml/2006/main" count="270" uniqueCount="151">
  <si>
    <t>Employee ID</t>
  </si>
  <si>
    <t>Name</t>
  </si>
  <si>
    <t>Department</t>
  </si>
  <si>
    <t>Salary</t>
  </si>
  <si>
    <t>Joining Date</t>
  </si>
  <si>
    <t>EMP001</t>
  </si>
  <si>
    <t>Mia</t>
  </si>
  <si>
    <t>Finance</t>
  </si>
  <si>
    <t>2020-07-09</t>
  </si>
  <si>
    <t>EMP002</t>
  </si>
  <si>
    <t>Sophia</t>
  </si>
  <si>
    <t>2022-10-22</t>
  </si>
  <si>
    <t>EMP003</t>
  </si>
  <si>
    <t>Lucas</t>
  </si>
  <si>
    <t>IT</t>
  </si>
  <si>
    <t>2022-02-27</t>
  </si>
  <si>
    <t>EMP004</t>
  </si>
  <si>
    <t>Ava</t>
  </si>
  <si>
    <t>HR</t>
  </si>
  <si>
    <t>2024-02-05</t>
  </si>
  <si>
    <t>EMP005</t>
  </si>
  <si>
    <t>Isla</t>
  </si>
  <si>
    <t>Operations</t>
  </si>
  <si>
    <t>2023-06-03</t>
  </si>
  <si>
    <t>EMP006</t>
  </si>
  <si>
    <t>2023-03-23</t>
  </si>
  <si>
    <t>EMP007</t>
  </si>
  <si>
    <t>Aarav</t>
  </si>
  <si>
    <t>Marketing</t>
  </si>
  <si>
    <t>2020-03-16</t>
  </si>
  <si>
    <t>EMP008</t>
  </si>
  <si>
    <t>2022-08-31</t>
  </si>
  <si>
    <t>EMP009</t>
  </si>
  <si>
    <t>2021-11-14</t>
  </si>
  <si>
    <t>EMP010</t>
  </si>
  <si>
    <t>Noah</t>
  </si>
  <si>
    <t>2023-03-30</t>
  </si>
  <si>
    <t>EMP011</t>
  </si>
  <si>
    <t>2022-06-13</t>
  </si>
  <si>
    <t>EMP012</t>
  </si>
  <si>
    <t>2023-07-21</t>
  </si>
  <si>
    <t>EMP013</t>
  </si>
  <si>
    <t>2022-07-29</t>
  </si>
  <si>
    <t>EMP014</t>
  </si>
  <si>
    <t>2023-02-27</t>
  </si>
  <si>
    <t>EMP015</t>
  </si>
  <si>
    <t>2021-03-31</t>
  </si>
  <si>
    <t>EMP016</t>
  </si>
  <si>
    <t>2020-03-13</t>
  </si>
  <si>
    <t>EMP017</t>
  </si>
  <si>
    <t>2023-11-03</t>
  </si>
  <si>
    <t>EMP018</t>
  </si>
  <si>
    <t>2021-07-20</t>
  </si>
  <si>
    <t>EMP019</t>
  </si>
  <si>
    <t>2020-10-17</t>
  </si>
  <si>
    <t>EMP020</t>
  </si>
  <si>
    <t>Ethan</t>
  </si>
  <si>
    <t>2020-08-12</t>
  </si>
  <si>
    <t>EMP021</t>
  </si>
  <si>
    <t>2022-10-16</t>
  </si>
  <si>
    <t>EMP022</t>
  </si>
  <si>
    <t>2020-03-06</t>
  </si>
  <si>
    <t>EMP023</t>
  </si>
  <si>
    <t>2021-08-31</t>
  </si>
  <si>
    <t>EMP024</t>
  </si>
  <si>
    <t>2022-05-09</t>
  </si>
  <si>
    <t>EMP025</t>
  </si>
  <si>
    <t>Liam</t>
  </si>
  <si>
    <t>2021-12-29</t>
  </si>
  <si>
    <t>EMP026</t>
  </si>
  <si>
    <t>2022-01-03</t>
  </si>
  <si>
    <t>EMP027</t>
  </si>
  <si>
    <t>2020-06-29</t>
  </si>
  <si>
    <t>EMP028</t>
  </si>
  <si>
    <t>Aria</t>
  </si>
  <si>
    <t>2023-05-15</t>
  </si>
  <si>
    <t>EMP029</t>
  </si>
  <si>
    <t>2020-03-14</t>
  </si>
  <si>
    <t>EMP030</t>
  </si>
  <si>
    <t>2022-07-28</t>
  </si>
  <si>
    <t>EMP031</t>
  </si>
  <si>
    <t>2022-06-07</t>
  </si>
  <si>
    <t>EMP032</t>
  </si>
  <si>
    <t>2020-09-11</t>
  </si>
  <si>
    <t>EMP033</t>
  </si>
  <si>
    <t>2021-11-07</t>
  </si>
  <si>
    <t>EMP034</t>
  </si>
  <si>
    <t>2023-12-11</t>
  </si>
  <si>
    <t>EMP035</t>
  </si>
  <si>
    <t>2023-03-07</t>
  </si>
  <si>
    <t>EMP036</t>
  </si>
  <si>
    <t>2022-10-14</t>
  </si>
  <si>
    <t>EMP037</t>
  </si>
  <si>
    <t>2020-02-07</t>
  </si>
  <si>
    <t>EMP038</t>
  </si>
  <si>
    <t>2021-03-28</t>
  </si>
  <si>
    <t>EMP039</t>
  </si>
  <si>
    <t>2021-04-26</t>
  </si>
  <si>
    <t>EMP040</t>
  </si>
  <si>
    <t>2020-03-08</t>
  </si>
  <si>
    <t>EMP041</t>
  </si>
  <si>
    <t>2022-04-25</t>
  </si>
  <si>
    <t>EMP042</t>
  </si>
  <si>
    <t>2020-07-13</t>
  </si>
  <si>
    <t>EMP043</t>
  </si>
  <si>
    <t>2021-11-05</t>
  </si>
  <si>
    <t>EMP044</t>
  </si>
  <si>
    <t>2023-09-04</t>
  </si>
  <si>
    <t>EMP045</t>
  </si>
  <si>
    <t>2023-07-24</t>
  </si>
  <si>
    <t>EMP046</t>
  </si>
  <si>
    <t>2020-05-31</t>
  </si>
  <si>
    <t>EMP047</t>
  </si>
  <si>
    <t>2022-10-19</t>
  </si>
  <si>
    <t>EMP048</t>
  </si>
  <si>
    <t>2023-11-04</t>
  </si>
  <si>
    <t>EMP049</t>
  </si>
  <si>
    <t>2024-01-12</t>
  </si>
  <si>
    <t>EMP050</t>
  </si>
  <si>
    <t>2023-11-13</t>
  </si>
  <si>
    <t>emp005</t>
  </si>
  <si>
    <t>Emp_type</t>
  </si>
  <si>
    <t>Grade1</t>
  </si>
  <si>
    <t>Grade2</t>
  </si>
  <si>
    <t>Grade3</t>
  </si>
  <si>
    <t>Grade4</t>
  </si>
  <si>
    <t>Grade5</t>
  </si>
  <si>
    <t>Grade6</t>
  </si>
  <si>
    <t>emp_type</t>
  </si>
  <si>
    <t>Greater than</t>
  </si>
  <si>
    <t>Class</t>
  </si>
  <si>
    <t>Subject</t>
  </si>
  <si>
    <t>Day</t>
  </si>
  <si>
    <t>Time</t>
  </si>
  <si>
    <t>Class 7A</t>
  </si>
  <si>
    <t>Maths</t>
  </si>
  <si>
    <t>Monday</t>
  </si>
  <si>
    <t>9:00 – 10:00</t>
  </si>
  <si>
    <t>Science</t>
  </si>
  <si>
    <t>10:00 – 11:00</t>
  </si>
  <si>
    <t>English</t>
  </si>
  <si>
    <t>11:00 – 12:00</t>
  </si>
  <si>
    <t>Class 8B</t>
  </si>
  <si>
    <t>Tuesday</t>
  </si>
  <si>
    <t>Computer</t>
  </si>
  <si>
    <t>Class 9C</t>
  </si>
  <si>
    <t>Physics</t>
  </si>
  <si>
    <t>Wednesday</t>
  </si>
  <si>
    <t>Chemistry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</si>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</sst>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/>
    <xf numFmtId="0" fontId="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opLeftCell="B1" workbookViewId="0">
      <selection activeCell="P15" sqref="P15"/>
    </sheetView>
  </sheetViews>
  <sheetFormatPr defaultRowHeight="14.4" x14ac:dyDescent="0.3"/>
  <cols>
    <col min="1" max="1" width="12.109375" customWidth="1"/>
    <col min="4" max="4" width="11.77734375" style="1" bestFit="1" customWidth="1"/>
    <col min="5" max="5" width="16.44140625" customWidth="1"/>
    <col min="6" max="6" width="11.109375" customWidth="1"/>
    <col min="9" max="9" width="11.88671875" customWidth="1"/>
    <col min="10" max="10" width="10.77734375" customWidth="1"/>
    <col min="14" max="14" width="12.109375" customWidth="1"/>
    <col min="18" max="18" width="11.44140625" customWidth="1"/>
    <col min="19" max="19" width="11.55468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8" t="s">
        <v>128</v>
      </c>
      <c r="N1" t="s">
        <v>129</v>
      </c>
    </row>
    <row r="2" spans="1:19" x14ac:dyDescent="0.3">
      <c r="A2" s="6" t="s">
        <v>5</v>
      </c>
      <c r="B2" s="6" t="s">
        <v>6</v>
      </c>
      <c r="C2" s="6" t="s">
        <v>7</v>
      </c>
      <c r="D2" s="7">
        <v>41608</v>
      </c>
      <c r="E2" s="6" t="s">
        <v>8</v>
      </c>
      <c r="F2" t="str">
        <f>VLOOKUP(D2,Emp_Type,2,TRUE)</f>
        <v>Grade5</v>
      </c>
      <c r="I2" s="3" t="s">
        <v>0</v>
      </c>
      <c r="J2" s="6" t="s">
        <v>120</v>
      </c>
      <c r="K2" s="2"/>
      <c r="N2" s="3" t="s">
        <v>3</v>
      </c>
      <c r="O2" s="3" t="s">
        <v>121</v>
      </c>
    </row>
    <row r="3" spans="1:19" x14ac:dyDescent="0.3">
      <c r="A3" s="6" t="s">
        <v>9</v>
      </c>
      <c r="B3" s="6" t="s">
        <v>10</v>
      </c>
      <c r="C3" s="6" t="s">
        <v>7</v>
      </c>
      <c r="D3" s="7">
        <v>45238</v>
      </c>
      <c r="E3" s="6" t="s">
        <v>11</v>
      </c>
      <c r="F3" t="str">
        <f>VLOOKUP(D3,Emp_Type,2,TRUE)</f>
        <v>Grade4</v>
      </c>
      <c r="I3" s="3" t="s">
        <v>1</v>
      </c>
      <c r="J3" s="6" t="str">
        <f>VLOOKUP($J$2,$A$2:$E$51,ROW()-1,0)</f>
        <v>Isla</v>
      </c>
      <c r="N3" s="6">
        <v>15000</v>
      </c>
      <c r="O3" s="6" t="s">
        <v>127</v>
      </c>
      <c r="R3" s="3" t="s">
        <v>0</v>
      </c>
      <c r="S3" t="s">
        <v>9</v>
      </c>
    </row>
    <row r="4" spans="1:19" x14ac:dyDescent="0.3">
      <c r="A4" s="6" t="s">
        <v>12</v>
      </c>
      <c r="B4" s="6" t="s">
        <v>13</v>
      </c>
      <c r="C4" s="6" t="s">
        <v>14</v>
      </c>
      <c r="D4" s="7">
        <v>53038</v>
      </c>
      <c r="E4" s="6" t="s">
        <v>15</v>
      </c>
      <c r="F4" t="str">
        <f>VLOOKUP(D4,Emp_Type,2,TRUE)</f>
        <v>Grade4</v>
      </c>
      <c r="I4" s="3" t="s">
        <v>2</v>
      </c>
      <c r="J4" s="6" t="str">
        <f t="shared" ref="J4:J6" si="0">VLOOKUP($J$2,$A$2:$E$51,ROW()-1,0)</f>
        <v>Operations</v>
      </c>
      <c r="N4" s="6">
        <v>30000</v>
      </c>
      <c r="O4" s="6" t="s">
        <v>126</v>
      </c>
      <c r="R4" s="3" t="s">
        <v>2</v>
      </c>
      <c r="S4" t="str">
        <f>VLOOKUP($S$3,$A$1:$F$51,MATCH(R4,$A$1:$F$1,0),0)</f>
        <v>Finance</v>
      </c>
    </row>
    <row r="5" spans="1:19" x14ac:dyDescent="0.3">
      <c r="A5" s="6" t="s">
        <v>16</v>
      </c>
      <c r="B5" s="6" t="s">
        <v>17</v>
      </c>
      <c r="C5" s="6" t="s">
        <v>18</v>
      </c>
      <c r="D5" s="7">
        <v>27201</v>
      </c>
      <c r="E5" s="6" t="s">
        <v>19</v>
      </c>
      <c r="F5" t="str">
        <f>VLOOKUP(D5,Emp_Type,2,TRUE)</f>
        <v>Grade6</v>
      </c>
      <c r="I5" s="4" t="s">
        <v>3</v>
      </c>
      <c r="J5" s="6">
        <f t="shared" si="0"/>
        <v>35694</v>
      </c>
      <c r="N5" s="6">
        <v>45000</v>
      </c>
      <c r="O5" s="6" t="s">
        <v>125</v>
      </c>
      <c r="R5" s="4" t="s">
        <v>128</v>
      </c>
      <c r="S5" t="str">
        <f>VLOOKUP($S$3,$A$1:$F$51,MATCH(R5,$A$1:$F$1,0),0)</f>
        <v>Grade4</v>
      </c>
    </row>
    <row r="6" spans="1:19" x14ac:dyDescent="0.3">
      <c r="A6" s="6" t="s">
        <v>20</v>
      </c>
      <c r="B6" s="6" t="s">
        <v>21</v>
      </c>
      <c r="C6" s="6" t="s">
        <v>22</v>
      </c>
      <c r="D6" s="7">
        <v>35694</v>
      </c>
      <c r="E6" s="6" t="s">
        <v>23</v>
      </c>
      <c r="F6" t="str">
        <f>VLOOKUP(D6,Emp_Type,2,TRUE)</f>
        <v>Grade5</v>
      </c>
      <c r="I6" s="5" t="s">
        <v>4</v>
      </c>
      <c r="J6" s="6" t="str">
        <f t="shared" si="0"/>
        <v>2023-06-03</v>
      </c>
      <c r="N6" s="6">
        <v>60000</v>
      </c>
      <c r="O6" s="6" t="s">
        <v>124</v>
      </c>
    </row>
    <row r="7" spans="1:19" x14ac:dyDescent="0.3">
      <c r="A7" s="6" t="s">
        <v>24</v>
      </c>
      <c r="B7" s="6" t="s">
        <v>17</v>
      </c>
      <c r="C7" s="6" t="s">
        <v>14</v>
      </c>
      <c r="D7" s="7">
        <v>57636</v>
      </c>
      <c r="E7" s="6" t="s">
        <v>25</v>
      </c>
      <c r="F7" t="str">
        <f>VLOOKUP(D7,Emp_Type,2,TRUE)</f>
        <v>Grade4</v>
      </c>
      <c r="N7" s="6">
        <v>75000</v>
      </c>
      <c r="O7" s="6" t="s">
        <v>123</v>
      </c>
    </row>
    <row r="8" spans="1:19" x14ac:dyDescent="0.3">
      <c r="A8" s="6" t="s">
        <v>26</v>
      </c>
      <c r="B8" s="6" t="s">
        <v>27</v>
      </c>
      <c r="C8" s="6" t="s">
        <v>28</v>
      </c>
      <c r="D8" s="7">
        <v>44864</v>
      </c>
      <c r="E8" s="6" t="s">
        <v>29</v>
      </c>
      <c r="F8" t="str">
        <f>VLOOKUP(D8,Emp_Type,2,TRUE)</f>
        <v>Grade5</v>
      </c>
      <c r="N8" s="6">
        <v>90000</v>
      </c>
      <c r="O8" s="6" t="s">
        <v>122</v>
      </c>
    </row>
    <row r="9" spans="1:19" x14ac:dyDescent="0.3">
      <c r="A9" s="6" t="s">
        <v>30</v>
      </c>
      <c r="B9" s="6" t="s">
        <v>27</v>
      </c>
      <c r="C9" s="6" t="s">
        <v>7</v>
      </c>
      <c r="D9" s="7">
        <v>35103</v>
      </c>
      <c r="E9" s="6" t="s">
        <v>31</v>
      </c>
      <c r="F9" t="str">
        <f>VLOOKUP(D9,Emp_Type,2,TRUE)</f>
        <v>Grade5</v>
      </c>
    </row>
    <row r="10" spans="1:19" x14ac:dyDescent="0.3">
      <c r="A10" s="6" t="s">
        <v>32</v>
      </c>
      <c r="B10" s="6" t="s">
        <v>17</v>
      </c>
      <c r="C10" s="6" t="s">
        <v>28</v>
      </c>
      <c r="D10" s="7">
        <v>32720</v>
      </c>
      <c r="E10" s="6" t="s">
        <v>33</v>
      </c>
      <c r="F10" t="str">
        <f>VLOOKUP(D10,Emp_Type,2,TRUE)</f>
        <v>Grade5</v>
      </c>
    </row>
    <row r="11" spans="1:19" x14ac:dyDescent="0.3">
      <c r="A11" s="6" t="s">
        <v>34</v>
      </c>
      <c r="B11" s="6" t="s">
        <v>35</v>
      </c>
      <c r="C11" s="6" t="s">
        <v>28</v>
      </c>
      <c r="D11" s="7">
        <v>29568</v>
      </c>
      <c r="E11" s="6" t="s">
        <v>36</v>
      </c>
      <c r="F11" t="str">
        <f>VLOOKUP(D11,Emp_Type,2,TRUE)</f>
        <v>Grade6</v>
      </c>
    </row>
    <row r="12" spans="1:19" x14ac:dyDescent="0.3">
      <c r="A12" s="6" t="s">
        <v>37</v>
      </c>
      <c r="B12" s="6" t="s">
        <v>10</v>
      </c>
      <c r="C12" s="6" t="s">
        <v>28</v>
      </c>
      <c r="D12" s="7">
        <v>39344</v>
      </c>
      <c r="E12" s="6" t="s">
        <v>38</v>
      </c>
      <c r="F12" t="str">
        <f>VLOOKUP(D12,Emp_Type,2,TRUE)</f>
        <v>Grade5</v>
      </c>
    </row>
    <row r="13" spans="1:19" x14ac:dyDescent="0.3">
      <c r="A13" s="6" t="s">
        <v>39</v>
      </c>
      <c r="B13" s="6" t="s">
        <v>21</v>
      </c>
      <c r="C13" s="6" t="s">
        <v>22</v>
      </c>
      <c r="D13" s="7">
        <v>25272</v>
      </c>
      <c r="E13" s="6" t="s">
        <v>40</v>
      </c>
      <c r="F13" t="str">
        <f>VLOOKUP(D13,Emp_Type,2,TRUE)</f>
        <v>Grade6</v>
      </c>
    </row>
    <row r="14" spans="1:19" x14ac:dyDescent="0.3">
      <c r="A14" s="6" t="s">
        <v>41</v>
      </c>
      <c r="B14" s="6" t="s">
        <v>6</v>
      </c>
      <c r="C14" s="6" t="s">
        <v>28</v>
      </c>
      <c r="D14" s="7">
        <v>36600</v>
      </c>
      <c r="E14" s="6" t="s">
        <v>42</v>
      </c>
      <c r="F14" t="str">
        <f>VLOOKUP(D14,Emp_Type,2,TRUE)</f>
        <v>Grade5</v>
      </c>
      <c r="P14">
        <f>MATCH(R4,A1:F1,0)</f>
        <v>3</v>
      </c>
    </row>
    <row r="15" spans="1:19" x14ac:dyDescent="0.3">
      <c r="A15" s="6" t="s">
        <v>43</v>
      </c>
      <c r="B15" s="6" t="s">
        <v>17</v>
      </c>
      <c r="C15" s="6" t="s">
        <v>18</v>
      </c>
      <c r="D15" s="7">
        <v>36156</v>
      </c>
      <c r="E15" s="6" t="s">
        <v>44</v>
      </c>
      <c r="F15" t="str">
        <f>VLOOKUP(D15,Emp_Type,2,TRUE)</f>
        <v>Grade5</v>
      </c>
    </row>
    <row r="16" spans="1:19" x14ac:dyDescent="0.3">
      <c r="A16" s="6" t="s">
        <v>45</v>
      </c>
      <c r="B16" s="6" t="s">
        <v>35</v>
      </c>
      <c r="C16" s="6" t="s">
        <v>14</v>
      </c>
      <c r="D16" s="7">
        <v>38184</v>
      </c>
      <c r="E16" s="6" t="s">
        <v>46</v>
      </c>
      <c r="F16" t="str">
        <f>VLOOKUP(D16,Emp_Type,2,TRUE)</f>
        <v>Grade5</v>
      </c>
    </row>
    <row r="17" spans="1:6" x14ac:dyDescent="0.3">
      <c r="A17" s="6" t="s">
        <v>47</v>
      </c>
      <c r="B17" s="6" t="s">
        <v>35</v>
      </c>
      <c r="C17" s="6" t="s">
        <v>28</v>
      </c>
      <c r="D17" s="7">
        <v>55507</v>
      </c>
      <c r="E17" s="6" t="s">
        <v>48</v>
      </c>
      <c r="F17" t="str">
        <f>VLOOKUP(D17,Emp_Type,2,TRUE)</f>
        <v>Grade4</v>
      </c>
    </row>
    <row r="18" spans="1:6" x14ac:dyDescent="0.3">
      <c r="A18" s="6" t="s">
        <v>49</v>
      </c>
      <c r="B18" s="6" t="s">
        <v>10</v>
      </c>
      <c r="C18" s="6" t="s">
        <v>7</v>
      </c>
      <c r="D18" s="7">
        <v>36951</v>
      </c>
      <c r="E18" s="6" t="s">
        <v>50</v>
      </c>
      <c r="F18" t="str">
        <f>VLOOKUP(D18,Emp_Type,2,TRUE)</f>
        <v>Grade5</v>
      </c>
    </row>
    <row r="19" spans="1:6" x14ac:dyDescent="0.3">
      <c r="A19" s="6" t="s">
        <v>51</v>
      </c>
      <c r="B19" s="6" t="s">
        <v>35</v>
      </c>
      <c r="C19" s="6" t="s">
        <v>22</v>
      </c>
      <c r="D19" s="7">
        <v>38660</v>
      </c>
      <c r="E19" s="6" t="s">
        <v>52</v>
      </c>
      <c r="F19" t="str">
        <f>VLOOKUP(D19,Emp_Type,2,TRUE)</f>
        <v>Grade5</v>
      </c>
    </row>
    <row r="20" spans="1:6" x14ac:dyDescent="0.3">
      <c r="A20" s="6" t="s">
        <v>53</v>
      </c>
      <c r="B20" s="6" t="s">
        <v>27</v>
      </c>
      <c r="C20" s="6" t="s">
        <v>18</v>
      </c>
      <c r="D20" s="7">
        <v>25049</v>
      </c>
      <c r="E20" s="6" t="s">
        <v>54</v>
      </c>
      <c r="F20" t="str">
        <f>VLOOKUP(D20,Emp_Type,2,TRUE)</f>
        <v>Grade6</v>
      </c>
    </row>
    <row r="21" spans="1:6" x14ac:dyDescent="0.3">
      <c r="A21" s="6" t="s">
        <v>55</v>
      </c>
      <c r="B21" s="6" t="s">
        <v>56</v>
      </c>
      <c r="C21" s="6" t="s">
        <v>22</v>
      </c>
      <c r="D21" s="7">
        <v>57366</v>
      </c>
      <c r="E21" s="6" t="s">
        <v>57</v>
      </c>
      <c r="F21" t="str">
        <f>VLOOKUP(D21,Emp_Type,2,TRUE)</f>
        <v>Grade4</v>
      </c>
    </row>
    <row r="22" spans="1:6" x14ac:dyDescent="0.3">
      <c r="A22" s="6" t="s">
        <v>58</v>
      </c>
      <c r="B22" s="6" t="s">
        <v>56</v>
      </c>
      <c r="C22" s="6" t="s">
        <v>18</v>
      </c>
      <c r="D22" s="7">
        <v>32340</v>
      </c>
      <c r="E22" s="6" t="s">
        <v>59</v>
      </c>
      <c r="F22" t="str">
        <f>VLOOKUP(D22,Emp_Type,2,TRUE)</f>
        <v>Grade5</v>
      </c>
    </row>
    <row r="23" spans="1:6" x14ac:dyDescent="0.3">
      <c r="A23" s="6" t="s">
        <v>60</v>
      </c>
      <c r="B23" s="6" t="s">
        <v>10</v>
      </c>
      <c r="C23" s="6" t="s">
        <v>22</v>
      </c>
      <c r="D23" s="7">
        <v>35971</v>
      </c>
      <c r="E23" s="6" t="s">
        <v>61</v>
      </c>
      <c r="F23" t="str">
        <f>VLOOKUP(D23,Emp_Type,2,TRUE)</f>
        <v>Grade5</v>
      </c>
    </row>
    <row r="24" spans="1:6" x14ac:dyDescent="0.3">
      <c r="A24" s="6" t="s">
        <v>62</v>
      </c>
      <c r="B24" s="6" t="s">
        <v>27</v>
      </c>
      <c r="C24" s="6" t="s">
        <v>28</v>
      </c>
      <c r="D24" s="7">
        <v>45882</v>
      </c>
      <c r="E24" s="6" t="s">
        <v>63</v>
      </c>
      <c r="F24" t="str">
        <f>VLOOKUP(D24,Emp_Type,2,TRUE)</f>
        <v>Grade4</v>
      </c>
    </row>
    <row r="25" spans="1:6" x14ac:dyDescent="0.3">
      <c r="A25" s="6" t="s">
        <v>64</v>
      </c>
      <c r="B25" s="6" t="s">
        <v>21</v>
      </c>
      <c r="C25" s="6" t="s">
        <v>28</v>
      </c>
      <c r="D25" s="7">
        <v>37862</v>
      </c>
      <c r="E25" s="6" t="s">
        <v>65</v>
      </c>
      <c r="F25" t="str">
        <f>VLOOKUP(D25,Emp_Type,2,TRUE)</f>
        <v>Grade5</v>
      </c>
    </row>
    <row r="26" spans="1:6" x14ac:dyDescent="0.3">
      <c r="A26" s="6" t="s">
        <v>66</v>
      </c>
      <c r="B26" s="6" t="s">
        <v>67</v>
      </c>
      <c r="C26" s="6" t="s">
        <v>14</v>
      </c>
      <c r="D26" s="7">
        <v>25339</v>
      </c>
      <c r="E26" s="6" t="s">
        <v>68</v>
      </c>
      <c r="F26" t="str">
        <f>VLOOKUP(D26,Emp_Type,2,TRUE)</f>
        <v>Grade6</v>
      </c>
    </row>
    <row r="27" spans="1:6" x14ac:dyDescent="0.3">
      <c r="A27" s="6" t="s">
        <v>69</v>
      </c>
      <c r="B27" s="6" t="s">
        <v>17</v>
      </c>
      <c r="C27" s="6" t="s">
        <v>14</v>
      </c>
      <c r="D27" s="7">
        <v>35338</v>
      </c>
      <c r="E27" s="6" t="s">
        <v>70</v>
      </c>
      <c r="F27" t="str">
        <f>VLOOKUP(D27,Emp_Type,2,TRUE)</f>
        <v>Grade5</v>
      </c>
    </row>
    <row r="28" spans="1:6" x14ac:dyDescent="0.3">
      <c r="A28" s="6" t="s">
        <v>71</v>
      </c>
      <c r="B28" s="6" t="s">
        <v>17</v>
      </c>
      <c r="C28" s="6" t="s">
        <v>14</v>
      </c>
      <c r="D28" s="7">
        <v>40168</v>
      </c>
      <c r="E28" s="6" t="s">
        <v>72</v>
      </c>
      <c r="F28" t="str">
        <f>VLOOKUP(D28,Emp_Type,2,TRUE)</f>
        <v>Grade5</v>
      </c>
    </row>
    <row r="29" spans="1:6" x14ac:dyDescent="0.3">
      <c r="A29" s="6" t="s">
        <v>73</v>
      </c>
      <c r="B29" s="6" t="s">
        <v>74</v>
      </c>
      <c r="C29" s="6" t="s">
        <v>7</v>
      </c>
      <c r="D29" s="7">
        <v>38149</v>
      </c>
      <c r="E29" s="6" t="s">
        <v>75</v>
      </c>
      <c r="F29" t="str">
        <f>VLOOKUP(D29,Emp_Type,2,TRUE)</f>
        <v>Grade5</v>
      </c>
    </row>
    <row r="30" spans="1:6" x14ac:dyDescent="0.3">
      <c r="A30" s="6" t="s">
        <v>76</v>
      </c>
      <c r="B30" s="6" t="s">
        <v>35</v>
      </c>
      <c r="C30" s="6" t="s">
        <v>14</v>
      </c>
      <c r="D30" s="7">
        <v>54028</v>
      </c>
      <c r="E30" s="6" t="s">
        <v>77</v>
      </c>
      <c r="F30" t="str">
        <f>VLOOKUP(D30,Emp_Type,2,TRUE)</f>
        <v>Grade4</v>
      </c>
    </row>
    <row r="31" spans="1:6" x14ac:dyDescent="0.3">
      <c r="A31" s="6" t="s">
        <v>78</v>
      </c>
      <c r="B31" s="6" t="s">
        <v>6</v>
      </c>
      <c r="C31" s="6" t="s">
        <v>14</v>
      </c>
      <c r="D31" s="7">
        <v>25132</v>
      </c>
      <c r="E31" s="6" t="s">
        <v>79</v>
      </c>
      <c r="F31" t="str">
        <f>VLOOKUP(D31,Emp_Type,2,TRUE)</f>
        <v>Grade6</v>
      </c>
    </row>
    <row r="32" spans="1:6" x14ac:dyDescent="0.3">
      <c r="A32" s="6" t="s">
        <v>80</v>
      </c>
      <c r="B32" s="6" t="s">
        <v>35</v>
      </c>
      <c r="C32" s="6" t="s">
        <v>18</v>
      </c>
      <c r="D32" s="7">
        <v>37709</v>
      </c>
      <c r="E32" s="6" t="s">
        <v>81</v>
      </c>
      <c r="F32" t="str">
        <f>VLOOKUP(D32,Emp_Type,2,TRUE)</f>
        <v>Grade5</v>
      </c>
    </row>
    <row r="33" spans="1:6" x14ac:dyDescent="0.3">
      <c r="A33" s="6" t="s">
        <v>82</v>
      </c>
      <c r="B33" s="6" t="s">
        <v>27</v>
      </c>
      <c r="C33" s="6" t="s">
        <v>22</v>
      </c>
      <c r="D33" s="7">
        <v>33556</v>
      </c>
      <c r="E33" s="6" t="s">
        <v>83</v>
      </c>
      <c r="F33" t="str">
        <f>VLOOKUP(D33,Emp_Type,2,TRUE)</f>
        <v>Grade5</v>
      </c>
    </row>
    <row r="34" spans="1:6" x14ac:dyDescent="0.3">
      <c r="A34" s="6" t="s">
        <v>84</v>
      </c>
      <c r="B34" s="6" t="s">
        <v>21</v>
      </c>
      <c r="C34" s="6" t="s">
        <v>7</v>
      </c>
      <c r="D34" s="7">
        <v>29564</v>
      </c>
      <c r="E34" s="6" t="s">
        <v>85</v>
      </c>
      <c r="F34" t="str">
        <f>VLOOKUP(D34,Emp_Type,2,TRUE)</f>
        <v>Grade6</v>
      </c>
    </row>
    <row r="35" spans="1:6" x14ac:dyDescent="0.3">
      <c r="A35" s="6" t="s">
        <v>86</v>
      </c>
      <c r="B35" s="6" t="s">
        <v>17</v>
      </c>
      <c r="C35" s="6" t="s">
        <v>18</v>
      </c>
      <c r="D35" s="7">
        <v>54246</v>
      </c>
      <c r="E35" s="6" t="s">
        <v>87</v>
      </c>
      <c r="F35" t="str">
        <f>VLOOKUP(D35,Emp_Type,2,TRUE)</f>
        <v>Grade4</v>
      </c>
    </row>
    <row r="36" spans="1:6" x14ac:dyDescent="0.3">
      <c r="A36" s="6" t="s">
        <v>88</v>
      </c>
      <c r="B36" s="6" t="s">
        <v>27</v>
      </c>
      <c r="C36" s="6" t="s">
        <v>14</v>
      </c>
      <c r="D36" s="7">
        <v>41590</v>
      </c>
      <c r="E36" s="6" t="s">
        <v>89</v>
      </c>
      <c r="F36" t="str">
        <f>VLOOKUP(D36,Emp_Type,2,TRUE)</f>
        <v>Grade5</v>
      </c>
    </row>
    <row r="37" spans="1:6" x14ac:dyDescent="0.3">
      <c r="A37" s="6" t="s">
        <v>90</v>
      </c>
      <c r="B37" s="6" t="s">
        <v>10</v>
      </c>
      <c r="C37" s="6" t="s">
        <v>22</v>
      </c>
      <c r="D37" s="7">
        <v>37349</v>
      </c>
      <c r="E37" s="6" t="s">
        <v>91</v>
      </c>
      <c r="F37" t="str">
        <f>VLOOKUP(D37,Emp_Type,2,TRUE)</f>
        <v>Grade5</v>
      </c>
    </row>
    <row r="38" spans="1:6" x14ac:dyDescent="0.3">
      <c r="A38" s="6" t="s">
        <v>92</v>
      </c>
      <c r="B38" s="6" t="s">
        <v>21</v>
      </c>
      <c r="C38" s="6" t="s">
        <v>14</v>
      </c>
      <c r="D38" s="7">
        <v>55317</v>
      </c>
      <c r="E38" s="6" t="s">
        <v>93</v>
      </c>
      <c r="F38" t="str">
        <f>VLOOKUP(D38,Emp_Type,2,TRUE)</f>
        <v>Grade4</v>
      </c>
    </row>
    <row r="39" spans="1:6" x14ac:dyDescent="0.3">
      <c r="A39" s="6" t="s">
        <v>94</v>
      </c>
      <c r="B39" s="6" t="s">
        <v>27</v>
      </c>
      <c r="C39" s="6" t="s">
        <v>22</v>
      </c>
      <c r="D39" s="7">
        <v>44404</v>
      </c>
      <c r="E39" s="6" t="s">
        <v>95</v>
      </c>
      <c r="F39" t="str">
        <f>VLOOKUP(D39,Emp_Type,2,TRUE)</f>
        <v>Grade5</v>
      </c>
    </row>
    <row r="40" spans="1:6" x14ac:dyDescent="0.3">
      <c r="A40" s="6" t="s">
        <v>96</v>
      </c>
      <c r="B40" s="6" t="s">
        <v>74</v>
      </c>
      <c r="C40" s="6" t="s">
        <v>22</v>
      </c>
      <c r="D40" s="7">
        <v>50194</v>
      </c>
      <c r="E40" s="6" t="s">
        <v>97</v>
      </c>
      <c r="F40" t="str">
        <f>VLOOKUP(D40,Emp_Type,2,TRUE)</f>
        <v>Grade4</v>
      </c>
    </row>
    <row r="41" spans="1:6" x14ac:dyDescent="0.3">
      <c r="A41" s="6" t="s">
        <v>98</v>
      </c>
      <c r="B41" s="6" t="s">
        <v>17</v>
      </c>
      <c r="C41" s="6" t="s">
        <v>28</v>
      </c>
      <c r="D41" s="7">
        <v>54519</v>
      </c>
      <c r="E41" s="6" t="s">
        <v>99</v>
      </c>
      <c r="F41" t="str">
        <f>VLOOKUP(D41,Emp_Type,2,TRUE)</f>
        <v>Grade4</v>
      </c>
    </row>
    <row r="42" spans="1:6" x14ac:dyDescent="0.3">
      <c r="A42" s="6" t="s">
        <v>100</v>
      </c>
      <c r="B42" s="6" t="s">
        <v>35</v>
      </c>
      <c r="C42" s="6" t="s">
        <v>18</v>
      </c>
      <c r="D42" s="7">
        <v>47051</v>
      </c>
      <c r="E42" s="6" t="s">
        <v>101</v>
      </c>
      <c r="F42" t="str">
        <f>VLOOKUP(D42,Emp_Type,2,TRUE)</f>
        <v>Grade4</v>
      </c>
    </row>
    <row r="43" spans="1:6" x14ac:dyDescent="0.3">
      <c r="A43" s="6" t="s">
        <v>102</v>
      </c>
      <c r="B43" s="6" t="s">
        <v>67</v>
      </c>
      <c r="C43" s="6" t="s">
        <v>28</v>
      </c>
      <c r="D43" s="7">
        <v>31216</v>
      </c>
      <c r="E43" s="6" t="s">
        <v>103</v>
      </c>
      <c r="F43" t="str">
        <f>VLOOKUP(D43,Emp_Type,2,TRUE)</f>
        <v>Grade5</v>
      </c>
    </row>
    <row r="44" spans="1:6" x14ac:dyDescent="0.3">
      <c r="A44" s="6" t="s">
        <v>104</v>
      </c>
      <c r="B44" s="6" t="s">
        <v>35</v>
      </c>
      <c r="C44" s="6" t="s">
        <v>7</v>
      </c>
      <c r="D44" s="7">
        <v>40157</v>
      </c>
      <c r="E44" s="6" t="s">
        <v>105</v>
      </c>
      <c r="F44" t="str">
        <f>VLOOKUP(D44,Emp_Type,2,TRUE)</f>
        <v>Grade5</v>
      </c>
    </row>
    <row r="45" spans="1:6" x14ac:dyDescent="0.3">
      <c r="A45" s="6" t="s">
        <v>106</v>
      </c>
      <c r="B45" s="6" t="s">
        <v>67</v>
      </c>
      <c r="C45" s="6" t="s">
        <v>14</v>
      </c>
      <c r="D45" s="7">
        <v>29123</v>
      </c>
      <c r="E45" s="6" t="s">
        <v>107</v>
      </c>
      <c r="F45" t="str">
        <f>VLOOKUP(D45,Emp_Type,2,TRUE)</f>
        <v>Grade6</v>
      </c>
    </row>
    <row r="46" spans="1:6" x14ac:dyDescent="0.3">
      <c r="A46" s="6" t="s">
        <v>108</v>
      </c>
      <c r="B46" s="6" t="s">
        <v>13</v>
      </c>
      <c r="C46" s="6" t="s">
        <v>22</v>
      </c>
      <c r="D46" s="7">
        <v>56064</v>
      </c>
      <c r="E46" s="6" t="s">
        <v>109</v>
      </c>
      <c r="F46" t="str">
        <f>VLOOKUP(D46,Emp_Type,2,TRUE)</f>
        <v>Grade4</v>
      </c>
    </row>
    <row r="47" spans="1:6" x14ac:dyDescent="0.3">
      <c r="A47" s="6" t="s">
        <v>110</v>
      </c>
      <c r="B47" s="6" t="s">
        <v>74</v>
      </c>
      <c r="C47" s="6" t="s">
        <v>14</v>
      </c>
      <c r="D47" s="7">
        <v>28992</v>
      </c>
      <c r="E47" s="6" t="s">
        <v>111</v>
      </c>
      <c r="F47" t="str">
        <f>VLOOKUP(D47,Emp_Type,2,TRUE)</f>
        <v>Grade6</v>
      </c>
    </row>
    <row r="48" spans="1:6" x14ac:dyDescent="0.3">
      <c r="A48" s="6" t="s">
        <v>112</v>
      </c>
      <c r="B48" s="6" t="s">
        <v>10</v>
      </c>
      <c r="C48" s="6" t="s">
        <v>7</v>
      </c>
      <c r="D48" s="7">
        <v>33883</v>
      </c>
      <c r="E48" s="6" t="s">
        <v>113</v>
      </c>
      <c r="F48" t="str">
        <f>VLOOKUP(D48,Emp_Type,2,TRUE)</f>
        <v>Grade5</v>
      </c>
    </row>
    <row r="49" spans="1:6" x14ac:dyDescent="0.3">
      <c r="A49" s="6" t="s">
        <v>114</v>
      </c>
      <c r="B49" s="6" t="s">
        <v>35</v>
      </c>
      <c r="C49" s="6" t="s">
        <v>28</v>
      </c>
      <c r="D49" s="7">
        <v>49946</v>
      </c>
      <c r="E49" s="6" t="s">
        <v>115</v>
      </c>
      <c r="F49" t="str">
        <f>VLOOKUP(D49,Emp_Type,2,TRUE)</f>
        <v>Grade4</v>
      </c>
    </row>
    <row r="50" spans="1:6" x14ac:dyDescent="0.3">
      <c r="A50" s="6" t="s">
        <v>116</v>
      </c>
      <c r="B50" s="6" t="s">
        <v>13</v>
      </c>
      <c r="C50" s="6" t="s">
        <v>14</v>
      </c>
      <c r="D50" s="7">
        <v>25473</v>
      </c>
      <c r="E50" s="6" t="s">
        <v>117</v>
      </c>
      <c r="F50" t="str">
        <f>VLOOKUP(D50,Emp_Type,2,TRUE)</f>
        <v>Grade6</v>
      </c>
    </row>
    <row r="51" spans="1:6" x14ac:dyDescent="0.3">
      <c r="A51" s="6" t="s">
        <v>118</v>
      </c>
      <c r="B51" s="6" t="s">
        <v>27</v>
      </c>
      <c r="C51" s="6" t="s">
        <v>18</v>
      </c>
      <c r="D51" s="7">
        <v>59439</v>
      </c>
      <c r="E51" s="6" t="s">
        <v>119</v>
      </c>
      <c r="F51" t="str">
        <f>VLOOKUP(D51,Emp_Type,2,TRUE)</f>
        <v>Grade4</v>
      </c>
    </row>
  </sheetData>
  <sortState xmlns:xlrd2="http://schemas.microsoft.com/office/spreadsheetml/2017/richdata2" ref="N3:O8">
    <sortCondition ref="N3:N8"/>
  </sortState>
  <phoneticPr fontId="2" type="noConversion"/>
  <dataValidations count="2">
    <dataValidation type="list" allowBlank="1" showInputMessage="1" showErrorMessage="1" sqref="S3" xr:uid="{DCEB14CB-36D4-4BB5-9ED2-2D0721E060AE}">
      <formula1>$A$2:$A$51</formula1>
    </dataValidation>
    <dataValidation type="list" allowBlank="1" showInputMessage="1" showErrorMessage="1" sqref="R4 R5" xr:uid="{A8975C14-C0E0-4178-AF68-AEC8C397F8F9}">
      <formula1>$B$1:$F$1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F55B-E923-459E-940B-E577078912EC}">
  <dimension ref="A1:D22"/>
  <sheetViews>
    <sheetView tabSelected="1" workbookViewId="0">
      <selection activeCell="J9" sqref="J9"/>
    </sheetView>
  </sheetViews>
  <sheetFormatPr defaultRowHeight="14.4" x14ac:dyDescent="0.3"/>
  <cols>
    <col min="1" max="4" width="23.109375" customWidth="1"/>
  </cols>
  <sheetData>
    <row r="1" spans="1:4" x14ac:dyDescent="0.3">
      <c r="A1" s="10" t="s">
        <v>130</v>
      </c>
      <c r="B1" s="10" t="s">
        <v>131</v>
      </c>
      <c r="C1" s="10" t="s">
        <v>132</v>
      </c>
      <c r="D1" s="10" t="s">
        <v>133</v>
      </c>
    </row>
    <row r="2" spans="1:4" x14ac:dyDescent="0.3">
      <c r="A2" s="9" t="s">
        <v>134</v>
      </c>
      <c r="B2" s="9" t="s">
        <v>135</v>
      </c>
      <c r="C2" s="9" t="s">
        <v>136</v>
      </c>
      <c r="D2" s="9" t="s">
        <v>137</v>
      </c>
    </row>
    <row r="3" spans="1:4" x14ac:dyDescent="0.3">
      <c r="A3" s="9" t="s">
        <v>134</v>
      </c>
      <c r="B3" s="9" t="s">
        <v>138</v>
      </c>
      <c r="C3" s="9" t="s">
        <v>136</v>
      </c>
      <c r="D3" s="9" t="s">
        <v>139</v>
      </c>
    </row>
    <row r="4" spans="1:4" x14ac:dyDescent="0.3">
      <c r="A4" s="9" t="s">
        <v>134</v>
      </c>
      <c r="B4" s="9" t="s">
        <v>140</v>
      </c>
      <c r="C4" s="9" t="s">
        <v>136</v>
      </c>
      <c r="D4" s="9" t="s">
        <v>141</v>
      </c>
    </row>
    <row r="5" spans="1:4" x14ac:dyDescent="0.3">
      <c r="A5" s="9" t="s">
        <v>142</v>
      </c>
      <c r="B5" s="9" t="s">
        <v>135</v>
      </c>
      <c r="C5" s="9" t="s">
        <v>143</v>
      </c>
      <c r="D5" s="9" t="s">
        <v>137</v>
      </c>
    </row>
    <row r="6" spans="1:4" x14ac:dyDescent="0.3">
      <c r="A6" s="9" t="s">
        <v>142</v>
      </c>
      <c r="B6" s="9" t="s">
        <v>144</v>
      </c>
      <c r="C6" s="9" t="s">
        <v>143</v>
      </c>
      <c r="D6" s="9" t="s">
        <v>139</v>
      </c>
    </row>
    <row r="7" spans="1:4" x14ac:dyDescent="0.3">
      <c r="A7" s="9" t="s">
        <v>142</v>
      </c>
      <c r="B7" s="9" t="s">
        <v>138</v>
      </c>
      <c r="C7" s="9" t="s">
        <v>143</v>
      </c>
      <c r="D7" s="9" t="s">
        <v>141</v>
      </c>
    </row>
    <row r="8" spans="1:4" x14ac:dyDescent="0.3">
      <c r="A8" s="9" t="s">
        <v>145</v>
      </c>
      <c r="B8" s="9" t="s">
        <v>146</v>
      </c>
      <c r="C8" s="9" t="s">
        <v>147</v>
      </c>
      <c r="D8" s="9" t="s">
        <v>137</v>
      </c>
    </row>
    <row r="9" spans="1:4" x14ac:dyDescent="0.3">
      <c r="A9" s="9" t="s">
        <v>145</v>
      </c>
      <c r="B9" s="9" t="s">
        <v>148</v>
      </c>
      <c r="C9" s="9" t="s">
        <v>147</v>
      </c>
      <c r="D9" s="9" t="s">
        <v>139</v>
      </c>
    </row>
    <row r="10" spans="1:4" x14ac:dyDescent="0.3">
      <c r="A10" s="9" t="s">
        <v>145</v>
      </c>
      <c r="B10" s="9" t="s">
        <v>140</v>
      </c>
      <c r="C10" s="9" t="s">
        <v>147</v>
      </c>
      <c r="D10" s="9" t="s">
        <v>141</v>
      </c>
    </row>
    <row r="14" spans="1:4" x14ac:dyDescent="0.3">
      <c r="B14" s="10" t="s">
        <v>130</v>
      </c>
      <c r="C14" t="s">
        <v>139</v>
      </c>
    </row>
    <row r="15" spans="1:4" x14ac:dyDescent="0.3">
      <c r="B15" t="s">
        <v>140</v>
      </c>
      <c r="C15" t="e">
        <f>INDEX(A1:D10,MATCH(B15,A1:A10,0),MATCH(C14,A1:D1,0))</f>
        <v>#N/A</v>
      </c>
    </row>
    <row r="21" spans="2:3" x14ac:dyDescent="0.3">
      <c r="B21" t="s">
        <v>149</v>
      </c>
      <c r="C21">
        <f>MATCH(B15,B2:B10,0)</f>
        <v>3</v>
      </c>
    </row>
    <row r="22" spans="2:3" x14ac:dyDescent="0.3">
      <c r="B22" t="s">
        <v>150</v>
      </c>
      <c r="C22">
        <f>MATCH(C14,D2:D10,0)</f>
        <v>2</v>
      </c>
    </row>
  </sheetData>
  <dataValidations count="2">
    <dataValidation type="list" allowBlank="1" showInputMessage="1" showErrorMessage="1" sqref="B15" xr:uid="{042E9F27-C46F-41CF-8D24-4C8C47EDB5A0}">
      <formula1>$B$2:$B$10</formula1>
    </dataValidation>
    <dataValidation type="list" allowBlank="1" showInputMessage="1" showErrorMessage="1" sqref="C14" xr:uid="{FA16CB61-9E6D-42DF-856A-AD587B1C1067}">
      <formula1>$D$2:$D$10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Match and Index</vt:lpstr>
      <vt:lpstr>Emp_Type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BHUWAN ALE</cp:lastModifiedBy>
  <dcterms:created xsi:type="dcterms:W3CDTF">2025-11-30T00:51:45Z</dcterms:created>
  <dcterms:modified xsi:type="dcterms:W3CDTF">2025-11-30T14:07:29Z</dcterms:modified>
</cp:coreProperties>
</file>