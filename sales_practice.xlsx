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tables/table1.xml" ContentType="application/vnd.openxmlformats-officedocument.spreadsheetml.table+xml"/>
  <Override PartName="/xl/pivotTables/pivotTable5.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sH-Ok ALe\Downloads\"/>
    </mc:Choice>
  </mc:AlternateContent>
  <xr:revisionPtr revIDLastSave="0" documentId="13_ncr:1_{FAE10F05-8D6D-4EA5-9976-44C0F832B8D6}" xr6:coauthVersionLast="47" xr6:coauthVersionMax="47" xr10:uidLastSave="{00000000-0000-0000-0000-000000000000}"/>
  <bookViews>
    <workbookView xWindow="-96" yWindow="0" windowWidth="11712" windowHeight="13056" firstSheet="13" activeTab="13" xr2:uid="{00000000-000D-0000-FFFF-FFFF00000000}"/>
  </bookViews>
  <sheets>
    <sheet name="SalesData" sheetId="1" r:id="rId1"/>
    <sheet name="Beauty" sheetId="8" r:id="rId2"/>
    <sheet name="Clothing" sheetId="7" r:id="rId3"/>
    <sheet name="Electronics" sheetId="6" r:id="rId4"/>
    <sheet name="Sheet13" sheetId="15" r:id="rId5"/>
    <sheet name="Detail1" sheetId="14" r:id="rId6"/>
    <sheet name="Beauty (2)" sheetId="13" r:id="rId7"/>
    <sheet name="Clothing (2)" sheetId="12" r:id="rId8"/>
    <sheet name="Electronics (2)" sheetId="11" r:id="rId9"/>
    <sheet name="Groceries (2)" sheetId="10" r:id="rId10"/>
    <sheet name="Home Appliances (2)" sheetId="9" r:id="rId11"/>
    <sheet name="Groceries" sheetId="5" r:id="rId12"/>
    <sheet name="Home Appliances" sheetId="4" r:id="rId13"/>
    <sheet name="pivot table" sheetId="3" r:id="rId14"/>
  </sheets>
  <definedNames>
    <definedName name="NativeTimeline_Sales_Date">#N/A</definedName>
    <definedName name="Slicer_Region">#N/A</definedName>
  </definedNames>
  <calcPr calcId="191029"/>
  <pivotCaches>
    <pivotCache cacheId="10" r:id="rId15"/>
    <pivotCache cacheId="15" r:id="rId16"/>
  </pivotCaches>
  <extLs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7" i="1" l="1"/>
  <c r="J28" i="1"/>
  <c r="K28" i="1"/>
  <c r="L28" i="1"/>
  <c r="M28" i="1"/>
  <c r="J29" i="1"/>
  <c r="K29" i="1"/>
  <c r="L29" i="1"/>
  <c r="M29" i="1"/>
  <c r="J30" i="1"/>
  <c r="K30" i="1"/>
  <c r="L30" i="1"/>
  <c r="M30" i="1"/>
  <c r="J31" i="1"/>
  <c r="K31" i="1"/>
  <c r="L31" i="1"/>
  <c r="M31" i="1"/>
  <c r="K27" i="1"/>
  <c r="L27" i="1"/>
  <c r="M27" i="1"/>
  <c r="J19" i="1"/>
  <c r="J20" i="1"/>
  <c r="J21" i="1"/>
  <c r="J22" i="1"/>
  <c r="J10" i="1"/>
  <c r="J11" i="1"/>
  <c r="K11" i="1"/>
  <c r="L11" i="1"/>
  <c r="M11" i="1"/>
  <c r="N11" i="1"/>
  <c r="J12" i="1"/>
  <c r="K12" i="1"/>
  <c r="L12" i="1"/>
  <c r="M12" i="1"/>
  <c r="N12" i="1"/>
  <c r="J13" i="1"/>
  <c r="K13" i="1"/>
  <c r="L13" i="1"/>
  <c r="M13" i="1"/>
  <c r="N13" i="1"/>
  <c r="K10" i="1"/>
  <c r="L10" i="1"/>
  <c r="M10" i="1"/>
  <c r="N10" i="1"/>
  <c r="J2" i="1"/>
  <c r="J3" i="1"/>
  <c r="J4" i="1"/>
  <c r="J5" i="1"/>
</calcChain>
</file>

<file path=xl/sharedStrings.xml><?xml version="1.0" encoding="utf-8"?>
<sst xmlns="http://schemas.openxmlformats.org/spreadsheetml/2006/main" count="532" uniqueCount="150">
  <si>
    <t>Date</t>
  </si>
  <si>
    <t>Product</t>
  </si>
  <si>
    <t>Region</t>
  </si>
  <si>
    <t>Units Sold</t>
  </si>
  <si>
    <t>Unit Price</t>
  </si>
  <si>
    <t>Total Sales</t>
  </si>
  <si>
    <t>2025-01-01</t>
  </si>
  <si>
    <t>Phone</t>
  </si>
  <si>
    <t>East</t>
  </si>
  <si>
    <t>2025-01-02</t>
  </si>
  <si>
    <t>Keyboard</t>
  </si>
  <si>
    <t>West</t>
  </si>
  <si>
    <t>2025-01-03</t>
  </si>
  <si>
    <t>2025-01-04</t>
  </si>
  <si>
    <t>Laptop</t>
  </si>
  <si>
    <t>2025-01-05</t>
  </si>
  <si>
    <t>North</t>
  </si>
  <si>
    <t>2025-01-06</t>
  </si>
  <si>
    <t>2025-01-07</t>
  </si>
  <si>
    <t>Headphones</t>
  </si>
  <si>
    <t>2025-01-08</t>
  </si>
  <si>
    <t>2025-01-09</t>
  </si>
  <si>
    <t>2025-01-10</t>
  </si>
  <si>
    <t>Monitor</t>
  </si>
  <si>
    <t>2025-01-11</t>
  </si>
  <si>
    <t>2025-01-12</t>
  </si>
  <si>
    <t>South</t>
  </si>
  <si>
    <t>2025-01-13</t>
  </si>
  <si>
    <t>2025-01-14</t>
  </si>
  <si>
    <t>2025-01-15</t>
  </si>
  <si>
    <t>2025-01-16</t>
  </si>
  <si>
    <t>2025-01-17</t>
  </si>
  <si>
    <t>2025-01-18</t>
  </si>
  <si>
    <t>2025-01-19</t>
  </si>
  <si>
    <t>2025-01-20</t>
  </si>
  <si>
    <t>2025-01-21</t>
  </si>
  <si>
    <t>2025-01-22</t>
  </si>
  <si>
    <t>2025-01-23</t>
  </si>
  <si>
    <t>2025-01-24</t>
  </si>
  <si>
    <t>2025-01-25</t>
  </si>
  <si>
    <t>2025-01-26</t>
  </si>
  <si>
    <t>2025-01-27</t>
  </si>
  <si>
    <t>2025-01-28</t>
  </si>
  <si>
    <t>2025-01-29</t>
  </si>
  <si>
    <t>2025-01-30</t>
  </si>
  <si>
    <t>2025-01-31</t>
  </si>
  <si>
    <t>2025-02-01</t>
  </si>
  <si>
    <t>2025-02-02</t>
  </si>
  <si>
    <t>2025-02-03</t>
  </si>
  <si>
    <t>2025-02-04</t>
  </si>
  <si>
    <t>2025-02-05</t>
  </si>
  <si>
    <t>2025-02-06</t>
  </si>
  <si>
    <t>2025-02-07</t>
  </si>
  <si>
    <t>2025-02-08</t>
  </si>
  <si>
    <t>2025-02-09</t>
  </si>
  <si>
    <t>2025-02-10</t>
  </si>
  <si>
    <t>2025-02-11</t>
  </si>
  <si>
    <t>2025-02-12</t>
  </si>
  <si>
    <t>2025-02-13</t>
  </si>
  <si>
    <t>2025-02-14</t>
  </si>
  <si>
    <t>2025-02-15</t>
  </si>
  <si>
    <t>2025-02-16</t>
  </si>
  <si>
    <t>2025-02-17</t>
  </si>
  <si>
    <t>2025-02-18</t>
  </si>
  <si>
    <t>2025-02-19</t>
  </si>
  <si>
    <t>2025-02-20</t>
  </si>
  <si>
    <t>2025-02-21</t>
  </si>
  <si>
    <t>2025-02-22</t>
  </si>
  <si>
    <t>2025-02-23</t>
  </si>
  <si>
    <t>2025-02-24</t>
  </si>
  <si>
    <t>2025-02-25</t>
  </si>
  <si>
    <t>2025-02-26</t>
  </si>
  <si>
    <t>2025-02-27</t>
  </si>
  <si>
    <t>2025-02-28</t>
  </si>
  <si>
    <t>2025-03-01</t>
  </si>
  <si>
    <t>Region/Category</t>
  </si>
  <si>
    <t>Sales Date</t>
  </si>
  <si>
    <t>Customer Name</t>
  </si>
  <si>
    <t>City</t>
  </si>
  <si>
    <t>State</t>
  </si>
  <si>
    <t>Product Category</t>
  </si>
  <si>
    <t>Product Name</t>
  </si>
  <si>
    <t>Quantity</t>
  </si>
  <si>
    <t>Price Per Unit</t>
  </si>
  <si>
    <t>Sales Amount</t>
  </si>
  <si>
    <t>John Smith</t>
  </si>
  <si>
    <t>London</t>
  </si>
  <si>
    <t>England</t>
  </si>
  <si>
    <t>Electronics</t>
  </si>
  <si>
    <t>Wireless Mouse</t>
  </si>
  <si>
    <t>Sara Khan</t>
  </si>
  <si>
    <t>Birmingham</t>
  </si>
  <si>
    <t>Midlands</t>
  </si>
  <si>
    <t>Home Appliances</t>
  </si>
  <si>
    <t>Electric Kettle</t>
  </si>
  <si>
    <t>Emily Green</t>
  </si>
  <si>
    <t>Manchester</t>
  </si>
  <si>
    <t>Clothing</t>
  </si>
  <si>
    <t>Hoodie</t>
  </si>
  <si>
    <t>David Clark</t>
  </si>
  <si>
    <t>Leeds</t>
  </si>
  <si>
    <t>USB Keyboard</t>
  </si>
  <si>
    <t>Lily Brown</t>
  </si>
  <si>
    <t>Bristol</t>
  </si>
  <si>
    <t>Beauty</t>
  </si>
  <si>
    <t>Face Cream</t>
  </si>
  <si>
    <t>James Wilson</t>
  </si>
  <si>
    <t>Liverpool</t>
  </si>
  <si>
    <t>Groceries</t>
  </si>
  <si>
    <t>Cereal Box</t>
  </si>
  <si>
    <t>Isla Roberts</t>
  </si>
  <si>
    <t>Nottingham</t>
  </si>
  <si>
    <t>T-Shirt</t>
  </si>
  <si>
    <t>Ava Patel</t>
  </si>
  <si>
    <t>Leicester</t>
  </si>
  <si>
    <t>Phone Charger</t>
  </si>
  <si>
    <t>Harry Evans</t>
  </si>
  <si>
    <t>Blender</t>
  </si>
  <si>
    <t>Grace Hughes</t>
  </si>
  <si>
    <t>Sheffield</t>
  </si>
  <si>
    <t>Shampoo</t>
  </si>
  <si>
    <t>Oliver Wright</t>
  </si>
  <si>
    <t>Pasta Pack</t>
  </si>
  <si>
    <t>Mia Young</t>
  </si>
  <si>
    <t>Jeans</t>
  </si>
  <si>
    <t>George Baker</t>
  </si>
  <si>
    <t>Bluetooth Speaker</t>
  </si>
  <si>
    <t>Charlie Scott</t>
  </si>
  <si>
    <t>Body Lotion</t>
  </si>
  <si>
    <t>Jacob Hill</t>
  </si>
  <si>
    <t>Rice Bag</t>
  </si>
  <si>
    <t>Sofia Adams</t>
  </si>
  <si>
    <t>Jacket</t>
  </si>
  <si>
    <t>Noah Turner</t>
  </si>
  <si>
    <t>LED Bulb</t>
  </si>
  <si>
    <t>Leo Davis</t>
  </si>
  <si>
    <t>Toaster</t>
  </si>
  <si>
    <t>Ellie Morgan</t>
  </si>
  <si>
    <t>Hair Oil</t>
  </si>
  <si>
    <t>Oscar Price</t>
  </si>
  <si>
    <t>Milk Carton</t>
  </si>
  <si>
    <t>Row Labels</t>
  </si>
  <si>
    <t>Grand Total</t>
  </si>
  <si>
    <t>Column Labels</t>
  </si>
  <si>
    <t>Sum of Quantity</t>
  </si>
  <si>
    <t>Count of State</t>
  </si>
  <si>
    <t>(All)</t>
  </si>
  <si>
    <t>Total Count of State</t>
  </si>
  <si>
    <t>Total Sum of Quantity</t>
  </si>
  <si>
    <t>Details for Sum of Quantity - Product Category: Beauty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</si>
</sst>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1" xfId="0" applyBorder="1"/>
    <xf numFmtId="0" fontId="1" fillId="2" borderId="1" xfId="0" applyFont="1" applyFill="1" applyBorder="1"/>
    <xf numFmtId="14" fontId="0" fillId="0" borderId="0" xfId="0" applyNumberFormat="1"/>
    <xf numFmtId="0" fontId="1" fillId="0" borderId="0" xfId="0" applyFont="1"/>
    <xf numFmtId="14" fontId="0" fillId="0" borderId="1" xfId="0" applyNumberFormat="1" applyBorder="1"/>
    <xf numFmtId="14" fontId="1" fillId="2" borderId="1" xfId="0" applyNumberFormat="1" applyFont="1" applyFill="1" applyBorder="1" applyAlignment="1">
      <alignment horizontal="center"/>
    </xf>
    <xf numFmtId="0" fontId="1" fillId="2" borderId="1"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4" fontId="0" fillId="0" borderId="0" xfId="0" applyNumberFormat="1" applyAlignment="1">
      <alignment horizontal="left"/>
    </xf>
  </cellXfs>
  <cellStyles count="1">
    <cellStyle name="Normal" xfId="0" builtinId="0"/>
  </cellStyles>
  <dxfs count="1">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[sales_practice.xlsx]Clothing!PivotTable5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Clothing!$B$3:$B$4</c:f>
              <c:strCache>
                <c:ptCount val="1"/>
                <c:pt idx="0">
                  <c:v>Midlands</c:v>
                </c:pt>
              </c:strCache>
            </c:strRef>
          </c:tx>
          <c:dPt>
            <c:idx val="0"/>
            <c:bubble3D val="0"/>
            <c:spPr>
              <a:solidFill>
                <a:schemeClr val="accent1"/>
              </a:solidFill>
              <a:ln w="19050">
                <a:solidFill>
                  <a:schemeClr val="lt1"/>
                </a:solidFill>
              </a:ln>
              <a:effectLst/>
            </c:spPr>
          </c:dPt>
          <c:cat>
            <c:strRef>
              <c:f>Clothing!$A$5:$A$6</c:f>
              <c:strCache>
                <c:ptCount val="1"/>
                <c:pt idx="0">
                  <c:v>England</c:v>
                </c:pt>
              </c:strCache>
            </c:strRef>
          </c:cat>
          <c:val>
            <c:numRef>
              <c:f>Clothing!$B$5:$B$6</c:f>
              <c:numCache>
                <c:formatCode>General</c:formatCode>
                <c:ptCount val="1"/>
                <c:pt idx="0">
                  <c:v>2</c:v>
                </c:pt>
              </c:numCache>
            </c:numRef>
          </c:val>
          <c:extLst>
            <c:ext xmlns:c16="http://schemas.microsoft.com/office/drawing/2014/chart" uri="{C3380CC4-5D6E-409C-BE32-E72D297353CC}">
              <c16:uniqueId val="{00000000-E2B8-46BD-AFD3-B804C7B95B4C}"/>
            </c:ext>
          </c:extLst>
        </c:ser>
        <c:ser>
          <c:idx val="1"/>
          <c:order val="1"/>
          <c:tx>
            <c:strRef>
              <c:f>Clothing!$C$3:$C$4</c:f>
              <c:strCache>
                <c:ptCount val="1"/>
                <c:pt idx="0">
                  <c:v>North</c:v>
                </c:pt>
              </c:strCache>
            </c:strRef>
          </c:tx>
          <c:dPt>
            <c:idx val="0"/>
            <c:bubble3D val="0"/>
            <c:spPr>
              <a:solidFill>
                <a:schemeClr val="accent1"/>
              </a:solidFill>
              <a:ln w="19050">
                <a:solidFill>
                  <a:schemeClr val="lt1"/>
                </a:solidFill>
              </a:ln>
              <a:effectLst/>
            </c:spPr>
          </c:dPt>
          <c:cat>
            <c:strRef>
              <c:f>Clothing!$A$5:$A$6</c:f>
              <c:strCache>
                <c:ptCount val="1"/>
                <c:pt idx="0">
                  <c:v>England</c:v>
                </c:pt>
              </c:strCache>
            </c:strRef>
          </c:cat>
          <c:val>
            <c:numRef>
              <c:f>Clothing!$C$5:$C$6</c:f>
              <c:numCache>
                <c:formatCode>General</c:formatCode>
                <c:ptCount val="1"/>
                <c:pt idx="0">
                  <c:v>2</c:v>
                </c:pt>
              </c:numCache>
            </c:numRef>
          </c:val>
          <c:extLst>
            <c:ext xmlns:c16="http://schemas.microsoft.com/office/drawing/2014/chart" uri="{C3380CC4-5D6E-409C-BE32-E72D297353CC}">
              <c16:uniqueId val="{00000001-E2B8-46BD-AFD3-B804C7B95B4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[sales_practice.xlsx]Beauty (2)!PivotTable11</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'Beauty (2)'!$B$4</c:f>
              <c:strCache>
                <c:ptCount val="1"/>
                <c:pt idx="0">
                  <c:v>Count of State</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'Beauty (2)'!$A$5:$A$7</c:f>
              <c:multiLvlStrCache>
                <c:ptCount val="1"/>
                <c:lvl>
                  <c:pt idx="0">
                    <c:v>South</c:v>
                  </c:pt>
                </c:lvl>
                <c:lvl>
                  <c:pt idx="0">
                    <c:v>England</c:v>
                  </c:pt>
                </c:lvl>
              </c:multiLvlStrCache>
            </c:multiLvlStrRef>
          </c:cat>
          <c:val>
            <c:numRef>
              <c:f>'Beauty (2)'!$B$5:$B$7</c:f>
              <c:numCache>
                <c:formatCode>General</c:formatCode>
                <c:ptCount val="1"/>
                <c:pt idx="0">
                  <c:v>6</c:v>
                </c:pt>
              </c:numCache>
            </c:numRef>
          </c:val>
          <c:extLst>
            <c:ext xmlns:c16="http://schemas.microsoft.com/office/drawing/2014/chart" uri="{C3380CC4-5D6E-409C-BE32-E72D297353CC}">
              <c16:uniqueId val="{00000000-7B75-4B34-855C-8C9E0351FB9C}"/>
            </c:ext>
          </c:extLst>
        </c:ser>
        <c:ser>
          <c:idx val="1"/>
          <c:order val="1"/>
          <c:tx>
            <c:strRef>
              <c:f>'Beauty (2)'!$C$4</c:f>
              <c:strCache>
                <c:ptCount val="1"/>
                <c:pt idx="0">
                  <c:v>Sum of Quantity</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'Beauty (2)'!$A$5:$A$7</c:f>
              <c:multiLvlStrCache>
                <c:ptCount val="1"/>
                <c:lvl>
                  <c:pt idx="0">
                    <c:v>South</c:v>
                  </c:pt>
                </c:lvl>
                <c:lvl>
                  <c:pt idx="0">
                    <c:v>England</c:v>
                  </c:pt>
                </c:lvl>
              </c:multiLvlStrCache>
            </c:multiLvlStrRef>
          </c:cat>
          <c:val>
            <c:numRef>
              <c:f>'Beauty (2)'!$C$5:$C$7</c:f>
              <c:numCache>
                <c:formatCode>General</c:formatCode>
                <c:ptCount val="1"/>
                <c:pt idx="0">
                  <c:v>11</c:v>
                </c:pt>
              </c:numCache>
            </c:numRef>
          </c:val>
          <c:extLst>
            <c:ext xmlns:c16="http://schemas.microsoft.com/office/drawing/2014/chart" uri="{C3380CC4-5D6E-409C-BE32-E72D297353CC}">
              <c16:uniqueId val="{00000001-7B75-4B34-855C-8C9E0351FB9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[sales_practice.xlsx]Clothing (2)!PivotTable10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'Clothing (2)'!$B$3:$B$5</c:f>
              <c:strCache>
                <c:ptCount val="1"/>
                <c:pt idx="0">
                  <c:v>Midlands - Count of State</c:v>
                </c:pt>
              </c:strCache>
            </c:strRef>
          </c:tx>
          <c:spPr>
            <a:solidFill>
              <a:schemeClr val="accent1"/>
            </a:solidFill>
            <a:ln>
              <a:noFill/>
            </a:ln>
            <a:effectLst/>
          </c:spPr>
          <c:invertIfNegative val="0"/>
          <c:cat>
            <c:strRef>
              <c:f>'Clothing (2)'!$A$6:$A$7</c:f>
              <c:strCache>
                <c:ptCount val="1"/>
                <c:pt idx="0">
                  <c:v>England</c:v>
                </c:pt>
              </c:strCache>
            </c:strRef>
          </c:cat>
          <c:val>
            <c:numRef>
              <c:f>'Clothing (2)'!$B$6:$B$7</c:f>
              <c:numCache>
                <c:formatCode>General</c:formatCode>
                <c:ptCount val="1"/>
                <c:pt idx="0">
                  <c:v>2</c:v>
                </c:pt>
              </c:numCache>
            </c:numRef>
          </c:val>
          <c:extLst>
            <c:ext xmlns:c16="http://schemas.microsoft.com/office/drawing/2014/chart" uri="{C3380CC4-5D6E-409C-BE32-E72D297353CC}">
              <c16:uniqueId val="{00000000-2019-42EE-ABCE-B8B1B5DC13F6}"/>
            </c:ext>
          </c:extLst>
        </c:ser>
        <c:ser>
          <c:idx val="1"/>
          <c:order val="1"/>
          <c:tx>
            <c:strRef>
              <c:f>'Clothing (2)'!$C$3:$C$5</c:f>
              <c:strCache>
                <c:ptCount val="1"/>
                <c:pt idx="0">
                  <c:v>Midlands - Sum of Quantity</c:v>
                </c:pt>
              </c:strCache>
            </c:strRef>
          </c:tx>
          <c:spPr>
            <a:solidFill>
              <a:schemeClr val="accent2"/>
            </a:solidFill>
            <a:ln>
              <a:noFill/>
            </a:ln>
            <a:effectLst/>
          </c:spPr>
          <c:invertIfNegative val="0"/>
          <c:cat>
            <c:strRef>
              <c:f>'Clothing (2)'!$A$6:$A$7</c:f>
              <c:strCache>
                <c:ptCount val="1"/>
                <c:pt idx="0">
                  <c:v>England</c:v>
                </c:pt>
              </c:strCache>
            </c:strRef>
          </c:cat>
          <c:val>
            <c:numRef>
              <c:f>'Clothing (2)'!$C$6:$C$7</c:f>
              <c:numCache>
                <c:formatCode>General</c:formatCode>
                <c:ptCount val="1"/>
                <c:pt idx="0">
                  <c:v>6</c:v>
                </c:pt>
              </c:numCache>
            </c:numRef>
          </c:val>
          <c:extLst>
            <c:ext xmlns:c16="http://schemas.microsoft.com/office/drawing/2014/chart" uri="{C3380CC4-5D6E-409C-BE32-E72D297353CC}">
              <c16:uniqueId val="{00000001-2019-42EE-ABCE-B8B1B5DC13F6}"/>
            </c:ext>
          </c:extLst>
        </c:ser>
        <c:dLbls>
          <c:showLegendKey val="0"/>
          <c:showVal val="0"/>
          <c:showCatName val="0"/>
          <c:showSerName val="0"/>
          <c:showPercent val="0"/>
          <c:showBubbleSize val="0"/>
        </c:dLbls>
        <c:gapWidth val="219"/>
        <c:overlap val="-27"/>
        <c:axId val="793975696"/>
        <c:axId val="793976416"/>
      </c:barChart>
      <c:catAx>
        <c:axId val="79397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976416"/>
        <c:crosses val="autoZero"/>
        <c:auto val="1"/>
        <c:lblAlgn val="ctr"/>
        <c:lblOffset val="100"/>
        <c:noMultiLvlLbl val="0"/>
      </c:catAx>
      <c:valAx>
        <c:axId val="793976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975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[sales_practice.xlsx]pivot table!PivotTable1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271084864391949"/>
          <c:y val="0.1831437736949548"/>
          <c:w val="0.55462248468941377"/>
          <c:h val="0.65853091280256637"/>
        </c:manualLayout>
      </c:layout>
      <c:barChart>
        <c:barDir val="bar"/>
        <c:grouping val="clustered"/>
        <c:varyColors val="0"/>
        <c:ser>
          <c:idx val="0"/>
          <c:order val="0"/>
          <c:tx>
            <c:strRef>
              <c:f>'pivot table'!$N$3:$N$4</c:f>
              <c:strCache>
                <c:ptCount val="1"/>
                <c:pt idx="0">
                  <c:v>Midlands</c:v>
                </c:pt>
              </c:strCache>
            </c:strRef>
          </c:tx>
          <c:spPr>
            <a:solidFill>
              <a:schemeClr val="accent1"/>
            </a:solidFill>
            <a:ln>
              <a:noFill/>
            </a:ln>
            <a:effectLst/>
          </c:spPr>
          <c:invertIfNegative val="0"/>
          <c:cat>
            <c:strRef>
              <c:f>'pivot table'!$M$5:$M$6</c:f>
              <c:strCache>
                <c:ptCount val="1"/>
                <c:pt idx="0">
                  <c:v>England</c:v>
                </c:pt>
              </c:strCache>
            </c:strRef>
          </c:cat>
          <c:val>
            <c:numRef>
              <c:f>'pivot table'!$N$5:$N$6</c:f>
              <c:numCache>
                <c:formatCode>General</c:formatCode>
                <c:ptCount val="1"/>
                <c:pt idx="0">
                  <c:v>6</c:v>
                </c:pt>
              </c:numCache>
            </c:numRef>
          </c:val>
          <c:extLst>
            <c:ext xmlns:c16="http://schemas.microsoft.com/office/drawing/2014/chart" uri="{C3380CC4-5D6E-409C-BE32-E72D297353CC}">
              <c16:uniqueId val="{00000000-2E8B-43EA-B1D6-C8E6F49D3AF2}"/>
            </c:ext>
          </c:extLst>
        </c:ser>
        <c:ser>
          <c:idx val="1"/>
          <c:order val="1"/>
          <c:tx>
            <c:strRef>
              <c:f>'pivot table'!$O$3:$O$4</c:f>
              <c:strCache>
                <c:ptCount val="1"/>
                <c:pt idx="0">
                  <c:v>North</c:v>
                </c:pt>
              </c:strCache>
            </c:strRef>
          </c:tx>
          <c:spPr>
            <a:solidFill>
              <a:schemeClr val="accent2"/>
            </a:solidFill>
            <a:ln>
              <a:noFill/>
            </a:ln>
            <a:effectLst/>
          </c:spPr>
          <c:invertIfNegative val="0"/>
          <c:cat>
            <c:strRef>
              <c:f>'pivot table'!$M$5:$M$6</c:f>
              <c:strCache>
                <c:ptCount val="1"/>
                <c:pt idx="0">
                  <c:v>England</c:v>
                </c:pt>
              </c:strCache>
            </c:strRef>
          </c:cat>
          <c:val>
            <c:numRef>
              <c:f>'pivot table'!$O$5:$O$6</c:f>
              <c:numCache>
                <c:formatCode>General</c:formatCode>
                <c:ptCount val="1"/>
                <c:pt idx="0">
                  <c:v>8</c:v>
                </c:pt>
              </c:numCache>
            </c:numRef>
          </c:val>
          <c:extLst>
            <c:ext xmlns:c16="http://schemas.microsoft.com/office/drawing/2014/chart" uri="{C3380CC4-5D6E-409C-BE32-E72D297353CC}">
              <c16:uniqueId val="{00000001-2E8B-43EA-B1D6-C8E6F49D3AF2}"/>
            </c:ext>
          </c:extLst>
        </c:ser>
        <c:ser>
          <c:idx val="2"/>
          <c:order val="2"/>
          <c:tx>
            <c:strRef>
              <c:f>'pivot table'!$P$3:$P$4</c:f>
              <c:strCache>
                <c:ptCount val="1"/>
                <c:pt idx="0">
                  <c:v>South</c:v>
                </c:pt>
              </c:strCache>
            </c:strRef>
          </c:tx>
          <c:spPr>
            <a:solidFill>
              <a:schemeClr val="accent3"/>
            </a:solidFill>
            <a:ln>
              <a:noFill/>
            </a:ln>
            <a:effectLst/>
          </c:spPr>
          <c:invertIfNegative val="0"/>
          <c:cat>
            <c:strRef>
              <c:f>'pivot table'!$M$5:$M$6</c:f>
              <c:strCache>
                <c:ptCount val="1"/>
                <c:pt idx="0">
                  <c:v>England</c:v>
                </c:pt>
              </c:strCache>
            </c:strRef>
          </c:cat>
          <c:val>
            <c:numRef>
              <c:f>'pivot table'!$P$5:$P$6</c:f>
              <c:numCache>
                <c:formatCode>General</c:formatCode>
                <c:ptCount val="1"/>
                <c:pt idx="0">
                  <c:v>6</c:v>
                </c:pt>
              </c:numCache>
            </c:numRef>
          </c:val>
          <c:extLst>
            <c:ext xmlns:c16="http://schemas.microsoft.com/office/drawing/2014/chart" uri="{C3380CC4-5D6E-409C-BE32-E72D297353CC}">
              <c16:uniqueId val="{00000002-2E8B-43EA-B1D6-C8E6F49D3AF2}"/>
            </c:ext>
          </c:extLst>
        </c:ser>
        <c:dLbls>
          <c:showLegendKey val="0"/>
          <c:showVal val="0"/>
          <c:showCatName val="0"/>
          <c:showSerName val="0"/>
          <c:showPercent val="0"/>
          <c:showBubbleSize val="0"/>
        </c:dLbls>
        <c:gapWidth val="182"/>
        <c:axId val="576279296"/>
        <c:axId val="576267712"/>
      </c:barChart>
      <c:catAx>
        <c:axId val="576279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267712"/>
        <c:crosses val="autoZero"/>
        <c:auto val="1"/>
        <c:lblAlgn val="ctr"/>
        <c:lblOffset val="100"/>
        <c:noMultiLvlLbl val="0"/>
      </c:catAx>
      <c:valAx>
        <c:axId val="576267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27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194310</xdr:colOff>
      <xdr:row>7</xdr:row>
      <xdr:rowOff>80010</xdr:rowOff>
    </xdr:from>
    <xdr:to>
      <xdr:col>6</xdr:col>
      <xdr:colOff>293370</xdr:colOff>
      <xdr:row>22</xdr:row>
      <xdr:rowOff>80010</xdr:rowOff>
    </xdr:to>
    <xdr:graphicFrame macro="">
      <xdr:nvGraphicFramePr>
        <xdr:cNvPr id="2" name="Chart 1">
          <a:extLst>
            <a:ext uri="{FF2B5EF4-FFF2-40B4-BE49-F238E27FC236}">
              <a16:creationId xmlns:a16="http://schemas.microsoft.com/office/drawing/2014/main" id="{E4AF9C60-0BC6-A9F3-72BC-A796A25317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76200</xdr:colOff>
      <xdr:row>11</xdr:row>
      <xdr:rowOff>129540</xdr:rowOff>
    </xdr:from>
    <xdr:to>
      <xdr:col>5</xdr:col>
      <xdr:colOff>563880</xdr:colOff>
      <xdr:row>19</xdr:row>
      <xdr:rowOff>38100</xdr:rowOff>
    </xdr:to>
    <mc:AlternateContent xmlns:mc="http://schemas.openxmlformats.org/markup-compatibility/2006">
      <mc:Choice xmlns:tsle="http://schemas.microsoft.com/office/drawing/2012/timeslicer" Requires="tsle">
        <xdr:graphicFrame macro="">
          <xdr:nvGraphicFramePr>
            <xdr:cNvPr id="2" name="Sales Date">
              <a:extLst>
                <a:ext uri="{FF2B5EF4-FFF2-40B4-BE49-F238E27FC236}">
                  <a16:creationId xmlns:a16="http://schemas.microsoft.com/office/drawing/2014/main" id="{CCBBF801-9CDC-6D31-04A1-C6BC70B0B79E}"/>
                </a:ext>
              </a:extLst>
            </xdr:cNvPr>
            <xdr:cNvGraphicFramePr/>
          </xdr:nvGraphicFramePr>
          <xdr:xfrm>
            <a:off x="0" y="0"/>
            <a:ext cx="0" cy="0"/>
          </xdr:xfrm>
          <a:graphic>
            <a:graphicData uri="http://schemas.microsoft.com/office/drawing/2012/timeslicer">
              <tsle:timeslicer xmlns:tsle="http://schemas.microsoft.com/office/drawing/2012/timeslicer" name="Sales Date"/>
            </a:graphicData>
          </a:graphic>
        </xdr:graphicFrame>
      </mc:Choice>
      <mc:Fallback>
        <xdr:sp macro="" textlink="">
          <xdr:nvSpPr>
            <xdr:cNvPr id="0" name=""/>
            <xdr:cNvSpPr>
              <a:spLocks noTextEdit="1"/>
            </xdr:cNvSpPr>
          </xdr:nvSpPr>
          <xdr:spPr>
            <a:xfrm>
              <a:off x="937260" y="2141220"/>
              <a:ext cx="333756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361950</xdr:colOff>
      <xdr:row>10</xdr:row>
      <xdr:rowOff>45720</xdr:rowOff>
    </xdr:from>
    <xdr:to>
      <xdr:col>4</xdr:col>
      <xdr:colOff>895350</xdr:colOff>
      <xdr:row>25</xdr:row>
      <xdr:rowOff>45720</xdr:rowOff>
    </xdr:to>
    <xdr:graphicFrame macro="">
      <xdr:nvGraphicFramePr>
        <xdr:cNvPr id="2" name="Chart 1">
          <a:extLst>
            <a:ext uri="{FF2B5EF4-FFF2-40B4-BE49-F238E27FC236}">
              <a16:creationId xmlns:a16="http://schemas.microsoft.com/office/drawing/2014/main" id="{9C9533D0-5678-F3FA-CE08-0033F34DAF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240030</xdr:colOff>
      <xdr:row>8</xdr:row>
      <xdr:rowOff>125730</xdr:rowOff>
    </xdr:from>
    <xdr:to>
      <xdr:col>4</xdr:col>
      <xdr:colOff>773430</xdr:colOff>
      <xdr:row>23</xdr:row>
      <xdr:rowOff>125730</xdr:rowOff>
    </xdr:to>
    <xdr:graphicFrame macro="">
      <xdr:nvGraphicFramePr>
        <xdr:cNvPr id="2" name="Chart 1">
          <a:extLst>
            <a:ext uri="{FF2B5EF4-FFF2-40B4-BE49-F238E27FC236}">
              <a16:creationId xmlns:a16="http://schemas.microsoft.com/office/drawing/2014/main" id="{91FAAB1A-9CE1-BCAD-AF0A-FF7CEC66CD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297180</xdr:colOff>
      <xdr:row>8</xdr:row>
      <xdr:rowOff>45720</xdr:rowOff>
    </xdr:from>
    <xdr:to>
      <xdr:col>6</xdr:col>
      <xdr:colOff>891540</xdr:colOff>
      <xdr:row>21</xdr:row>
      <xdr:rowOff>135255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6435930D-F8A3-7CF7-75AC-0B78089AB89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012180" y="150876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11</xdr:col>
      <xdr:colOff>545910</xdr:colOff>
      <xdr:row>8</xdr:row>
      <xdr:rowOff>32982</xdr:rowOff>
    </xdr:from>
    <xdr:to>
      <xdr:col>17</xdr:col>
      <xdr:colOff>739254</xdr:colOff>
      <xdr:row>23</xdr:row>
      <xdr:rowOff>46630</xdr:rowOff>
    </xdr:to>
    <xdr:graphicFrame macro="">
      <xdr:nvGraphicFramePr>
        <xdr:cNvPr id="2" name="Chart 1">
          <a:extLst>
            <a:ext uri="{FF2B5EF4-FFF2-40B4-BE49-F238E27FC236}">
              <a16:creationId xmlns:a16="http://schemas.microsoft.com/office/drawing/2014/main" id="{5297D33B-16B5-194A-931F-D6234CE74A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Ok ALe" refreshedDate="45991.99092152778" createdVersion="8" refreshedVersion="8" minRefreshableVersion="3" recordCount="20" xr:uid="{9043B649-E15D-4E75-852F-6F0F6F08B50F}">
  <cacheSource type="worksheet">
    <worksheetSource ref="A1:J21" sheet="pivot table"/>
  </cacheSource>
  <cacheFields count="10">
    <cacheField name="Sales Date" numFmtId="14">
      <sharedItems containsSemiMixedTypes="0" containsNonDate="0" containsDate="1" containsString="0" minDate="2025-01-03T00:00:00" maxDate="2025-01-30T00:00:00" count="20">
        <d v="2025-01-03T00:00:00"/>
        <d v="2025-01-05T00:00:00"/>
        <d v="2025-01-06T00:00:00"/>
        <d v="2025-01-07T00:00:00"/>
        <d v="2025-01-08T00:00:00"/>
        <d v="2025-01-10T00:00:00"/>
        <d v="2025-01-11T00:00:00"/>
        <d v="2025-01-13T00:00:00"/>
        <d v="2025-01-14T00:00:00"/>
        <d v="2025-01-16T00:00:00"/>
        <d v="2025-01-17T00:00:00"/>
        <d v="2025-01-19T00:00:00"/>
        <d v="2025-01-20T00:00:00"/>
        <d v="2025-01-21T00:00:00"/>
        <d v="2025-01-23T00:00:00"/>
        <d v="2025-01-24T00:00:00"/>
        <d v="2025-01-25T00:00:00"/>
        <d v="2025-01-27T00:00:00"/>
        <d v="2025-01-28T00:00:00"/>
        <d v="2025-01-29T00:00:00"/>
      </sharedItems>
    </cacheField>
    <cacheField name="Customer Name" numFmtId="0">
      <sharedItems count="20">
        <s v="John Smith"/>
        <s v="Sara Khan"/>
        <s v="Emily Green"/>
        <s v="David Clark"/>
        <s v="Lily Brown"/>
        <s v="James Wilson"/>
        <s v="Isla Roberts"/>
        <s v="Ava Patel"/>
        <s v="Harry Evans"/>
        <s v="Grace Hughes"/>
        <s v="Oliver Wright"/>
        <s v="Mia Young"/>
        <s v="George Baker"/>
        <s v="Charlie Scott"/>
        <s v="Jacob Hill"/>
        <s v="Sofia Adams"/>
        <s v="Noah Turner"/>
        <s v="Leo Davis"/>
        <s v="Ellie Morgan"/>
        <s v="Oscar Price"/>
      </sharedItems>
    </cacheField>
    <cacheField name="City" numFmtId="0">
      <sharedItems count="9">
        <s v="London"/>
        <s v="Birmingham"/>
        <s v="Manchester"/>
        <s v="Leeds"/>
        <s v="Bristol"/>
        <s v="Liverpool"/>
        <s v="Nottingham"/>
        <s v="Leicester"/>
        <s v="Sheffield"/>
      </sharedItems>
    </cacheField>
    <cacheField name="State" numFmtId="0">
      <sharedItems count="1">
        <s v="England"/>
      </sharedItems>
    </cacheField>
    <cacheField name="Region" numFmtId="0">
      <sharedItems count="3">
        <s v="South"/>
        <s v="Midlands"/>
        <s v="North"/>
      </sharedItems>
    </cacheField>
    <cacheField name="Product Category" numFmtId="0">
      <sharedItems count="5">
        <s v="Electronics"/>
        <s v="Home Appliances"/>
        <s v="Clothing"/>
        <s v="Beauty"/>
        <s v="Groceries"/>
      </sharedItems>
    </cacheField>
    <cacheField name="Product Name" numFmtId="0">
      <sharedItems count="20">
        <s v="Wireless Mouse"/>
        <s v="Electric Kettle"/>
        <s v="Hoodie"/>
        <s v="USB Keyboard"/>
        <s v="Face Cream"/>
        <s v="Cereal Box"/>
        <s v="T-Shirt"/>
        <s v="Phone Charger"/>
        <s v="Blender"/>
        <s v="Shampoo"/>
        <s v="Pasta Pack"/>
        <s v="Jeans"/>
        <s v="Bluetooth Speaker"/>
        <s v="Body Lotion"/>
        <s v="Rice Bag"/>
        <s v="Jacket"/>
        <s v="LED Bulb"/>
        <s v="Toaster"/>
        <s v="Hair Oil"/>
        <s v="Milk Carton"/>
      </sharedItems>
    </cacheField>
    <cacheField name="Quantity" numFmtId="0">
      <sharedItems containsSemiMixedTypes="0" containsString="0" containsNumber="1" containsInteger="1" minValue="1" maxValue="6"/>
    </cacheField>
    <cacheField name="Price Per Unit" numFmtId="0">
      <sharedItems containsSemiMixedTypes="0" containsString="0" containsNumber="1" minValue="1.5" maxValue="60"/>
    </cacheField>
    <cacheField name="Sales Amount" numFmtId="0">
      <sharedItems containsSemiMixedTypes="0" containsString="0" containsNumber="1" minValue="7.5" maxValue="66" count="15">
        <n v="30"/>
        <n v="28"/>
        <n v="66"/>
        <n v="18"/>
        <n v="24"/>
        <n v="16"/>
        <n v="50"/>
        <n v="45"/>
        <n v="12"/>
        <n v="55"/>
        <n v="21"/>
        <n v="20"/>
        <n v="60"/>
        <n v="25"/>
        <n v="7.5"/>
      </sharedItems>
    </cacheField>
  </cacheFields>
  <extLst>
    <ext xmlns:x14="http://schemas.microsoft.com/office/spreadsheetml/2009/9/main" uri="{725AE2AE-9491-48be-B2B4-4EB974FC3084}">
      <x14:pivotCacheDefinition pivotCacheId="11285724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Ok ALe" refreshedDate="45992.02073113426" createdVersion="8" refreshedVersion="8" minRefreshableVersion="3" recordCount="6" xr:uid="{1E7F0D67-67E1-4924-828D-B9210A832C4A}">
  <cacheSource type="worksheet">
    <worksheetSource name="Table1"/>
  </cacheSource>
  <cacheFields count="10">
    <cacheField name="Sales Date" numFmtId="14">
      <sharedItems containsSemiMixedTypes="0" containsNonDate="0" containsDate="1" containsString="0" minDate="2025-01-03T00:00:00" maxDate="2025-01-29T00:00:00" count="6">
        <d v="2025-01-03T00:00:00"/>
        <d v="2025-01-28T00:00:00"/>
        <d v="2025-01-21T00:00:00"/>
        <d v="2025-01-20T00:00:00"/>
        <d v="2025-01-08T00:00:00"/>
        <d v="2025-01-14T00:00:00"/>
      </sharedItems>
    </cacheField>
    <cacheField name="Customer Name" numFmtId="0">
      <sharedItems/>
    </cacheField>
    <cacheField name="City" numFmtId="0">
      <sharedItems/>
    </cacheField>
    <cacheField name="State" numFmtId="0">
      <sharedItems/>
    </cacheField>
    <cacheField name="Region" numFmtId="0">
      <sharedItems/>
    </cacheField>
    <cacheField name="Product Category" numFmtId="0">
      <sharedItems/>
    </cacheField>
    <cacheField name="Product Name" numFmtId="0">
      <sharedItems/>
    </cacheField>
    <cacheField name="Quantity" numFmtId="0">
      <sharedItems containsSemiMixedTypes="0" containsString="0" containsNumber="1" containsInteger="1" minValue="1" maxValue="3" count="3">
        <n v="2"/>
        <n v="3"/>
        <n v="1"/>
      </sharedItems>
    </cacheField>
    <cacheField name="Price Per Unit" numFmtId="0">
      <sharedItems containsSemiMixedTypes="0" containsString="0" containsNumber="1" containsInteger="1" minValue="7" maxValue="55"/>
    </cacheField>
    <cacheField name="Sales Amount" numFmtId="0">
      <sharedItems containsSemiMixedTypes="0" containsString="0" containsNumber="1" containsInteger="1" minValue="18" maxValue="55"/>
    </cacheField>
  </cacheFields>
  <extLst>
    <ext xmlns:x14="http://schemas.microsoft.com/office/spreadsheetml/2009/9/main" uri="{725AE2AE-9491-48be-B2B4-4EB974FC3084}">
      <x14:pivotCacheDefinition pivotCacheId="1428669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x v="0"/>
    <x v="0"/>
    <x v="0"/>
    <n v="2"/>
    <n v="15"/>
    <x v="0"/>
  </r>
  <r>
    <x v="1"/>
    <x v="1"/>
    <x v="1"/>
    <x v="0"/>
    <x v="1"/>
    <x v="1"/>
    <x v="1"/>
    <n v="1"/>
    <n v="28"/>
    <x v="1"/>
  </r>
  <r>
    <x v="2"/>
    <x v="2"/>
    <x v="2"/>
    <x v="0"/>
    <x v="2"/>
    <x v="2"/>
    <x v="2"/>
    <n v="3"/>
    <n v="22"/>
    <x v="2"/>
  </r>
  <r>
    <x v="3"/>
    <x v="3"/>
    <x v="3"/>
    <x v="0"/>
    <x v="2"/>
    <x v="0"/>
    <x v="3"/>
    <n v="1"/>
    <n v="18"/>
    <x v="3"/>
  </r>
  <r>
    <x v="4"/>
    <x v="4"/>
    <x v="4"/>
    <x v="0"/>
    <x v="0"/>
    <x v="3"/>
    <x v="4"/>
    <n v="2"/>
    <n v="12"/>
    <x v="4"/>
  </r>
  <r>
    <x v="5"/>
    <x v="5"/>
    <x v="5"/>
    <x v="0"/>
    <x v="2"/>
    <x v="4"/>
    <x v="5"/>
    <n v="4"/>
    <n v="4"/>
    <x v="5"/>
  </r>
  <r>
    <x v="6"/>
    <x v="6"/>
    <x v="6"/>
    <x v="0"/>
    <x v="1"/>
    <x v="2"/>
    <x v="6"/>
    <n v="5"/>
    <n v="10"/>
    <x v="6"/>
  </r>
  <r>
    <x v="7"/>
    <x v="7"/>
    <x v="7"/>
    <x v="0"/>
    <x v="1"/>
    <x v="0"/>
    <x v="7"/>
    <n v="3"/>
    <n v="8"/>
    <x v="4"/>
  </r>
  <r>
    <x v="8"/>
    <x v="8"/>
    <x v="0"/>
    <x v="0"/>
    <x v="0"/>
    <x v="1"/>
    <x v="8"/>
    <n v="1"/>
    <n v="45"/>
    <x v="7"/>
  </r>
  <r>
    <x v="9"/>
    <x v="9"/>
    <x v="8"/>
    <x v="0"/>
    <x v="2"/>
    <x v="3"/>
    <x v="9"/>
    <n v="2"/>
    <n v="6"/>
    <x v="8"/>
  </r>
  <r>
    <x v="10"/>
    <x v="10"/>
    <x v="2"/>
    <x v="0"/>
    <x v="2"/>
    <x v="4"/>
    <x v="10"/>
    <n v="6"/>
    <n v="2"/>
    <x v="8"/>
  </r>
  <r>
    <x v="11"/>
    <x v="11"/>
    <x v="1"/>
    <x v="0"/>
    <x v="1"/>
    <x v="2"/>
    <x v="11"/>
    <n v="1"/>
    <n v="30"/>
    <x v="0"/>
  </r>
  <r>
    <x v="12"/>
    <x v="12"/>
    <x v="0"/>
    <x v="0"/>
    <x v="0"/>
    <x v="0"/>
    <x v="12"/>
    <n v="1"/>
    <n v="55"/>
    <x v="9"/>
  </r>
  <r>
    <x v="13"/>
    <x v="13"/>
    <x v="4"/>
    <x v="0"/>
    <x v="0"/>
    <x v="3"/>
    <x v="13"/>
    <n v="3"/>
    <n v="7"/>
    <x v="10"/>
  </r>
  <r>
    <x v="14"/>
    <x v="14"/>
    <x v="3"/>
    <x v="0"/>
    <x v="2"/>
    <x v="4"/>
    <x v="14"/>
    <n v="2"/>
    <n v="10"/>
    <x v="11"/>
  </r>
  <r>
    <x v="15"/>
    <x v="15"/>
    <x v="5"/>
    <x v="0"/>
    <x v="2"/>
    <x v="2"/>
    <x v="15"/>
    <n v="1"/>
    <n v="60"/>
    <x v="12"/>
  </r>
  <r>
    <x v="16"/>
    <x v="16"/>
    <x v="6"/>
    <x v="0"/>
    <x v="1"/>
    <x v="0"/>
    <x v="16"/>
    <n v="4"/>
    <n v="5"/>
    <x v="11"/>
  </r>
  <r>
    <x v="17"/>
    <x v="17"/>
    <x v="7"/>
    <x v="0"/>
    <x v="1"/>
    <x v="1"/>
    <x v="17"/>
    <n v="1"/>
    <n v="25"/>
    <x v="13"/>
  </r>
  <r>
    <x v="18"/>
    <x v="18"/>
    <x v="0"/>
    <x v="0"/>
    <x v="0"/>
    <x v="3"/>
    <x v="18"/>
    <n v="2"/>
    <n v="9"/>
    <x v="3"/>
  </r>
  <r>
    <x v="19"/>
    <x v="19"/>
    <x v="2"/>
    <x v="0"/>
    <x v="2"/>
    <x v="4"/>
    <x v="19"/>
    <n v="5"/>
    <n v="1.5"/>
    <x v="1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s v="John Smith"/>
    <s v="London"/>
    <s v="England"/>
    <s v="South"/>
    <s v="Electronics"/>
    <s v="Wireless Mouse"/>
    <x v="0"/>
    <n v="15"/>
    <n v="30"/>
  </r>
  <r>
    <x v="1"/>
    <s v="Ellie Morgan"/>
    <s v="London"/>
    <s v="England"/>
    <s v="South"/>
    <s v="Beauty"/>
    <s v="Hair Oil"/>
    <x v="0"/>
    <n v="9"/>
    <n v="18"/>
  </r>
  <r>
    <x v="2"/>
    <s v="Charlie Scott"/>
    <s v="Bristol"/>
    <s v="England"/>
    <s v="South"/>
    <s v="Beauty"/>
    <s v="Body Lotion"/>
    <x v="1"/>
    <n v="7"/>
    <n v="21"/>
  </r>
  <r>
    <x v="3"/>
    <s v="George Baker"/>
    <s v="London"/>
    <s v="England"/>
    <s v="South"/>
    <s v="Electronics"/>
    <s v="Bluetooth Speaker"/>
    <x v="2"/>
    <n v="55"/>
    <n v="55"/>
  </r>
  <r>
    <x v="4"/>
    <s v="Lily Brown"/>
    <s v="Bristol"/>
    <s v="England"/>
    <s v="South"/>
    <s v="Beauty"/>
    <s v="Face Cream"/>
    <x v="0"/>
    <n v="12"/>
    <n v="24"/>
  </r>
  <r>
    <x v="5"/>
    <s v="Harry Evans"/>
    <s v="London"/>
    <s v="England"/>
    <s v="South"/>
    <s v="Home Appliances"/>
    <s v="Blender"/>
    <x v="2"/>
    <n v="45"/>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F732F4-B6D8-4EFE-BFFD-2446D6F352E1}"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6" firstHeaderRow="1" firstDataRow="2" firstDataCol="1" rowPageCount="1" colPageCount="1"/>
  <pivotFields count="10">
    <pivotField numFmtId="14" showAll="0"/>
    <pivotField showAll="0"/>
    <pivotField showAll="0">
      <items count="10">
        <item x="1"/>
        <item x="4"/>
        <item x="3"/>
        <item x="7"/>
        <item x="5"/>
        <item x="0"/>
        <item x="2"/>
        <item x="6"/>
        <item x="8"/>
        <item t="default"/>
      </items>
    </pivotField>
    <pivotField axis="axisRow" dataField="1" showAll="0">
      <items count="2">
        <item x="0"/>
        <item t="default"/>
      </items>
    </pivotField>
    <pivotField axis="axisCol" showAll="0">
      <items count="4">
        <item x="1"/>
        <item x="2"/>
        <item x="0"/>
        <item t="default"/>
      </items>
    </pivotField>
    <pivotField axis="axisPage" showAll="0">
      <items count="6">
        <item x="3"/>
        <item x="2"/>
        <item x="0"/>
        <item x="4"/>
        <item x="1"/>
        <item t="default"/>
      </items>
    </pivotField>
    <pivotField showAll="0"/>
    <pivotField showAll="0"/>
    <pivotField showAll="0"/>
    <pivotField showAll="0">
      <items count="16">
        <item x="14"/>
        <item x="8"/>
        <item x="5"/>
        <item x="3"/>
        <item x="11"/>
        <item x="10"/>
        <item x="4"/>
        <item x="13"/>
        <item x="1"/>
        <item x="0"/>
        <item x="7"/>
        <item x="6"/>
        <item x="9"/>
        <item x="12"/>
        <item x="2"/>
        <item t="default"/>
      </items>
    </pivotField>
  </pivotFields>
  <rowFields count="1">
    <field x="3"/>
  </rowFields>
  <rowItems count="2">
    <i>
      <x/>
    </i>
    <i t="grand">
      <x/>
    </i>
  </rowItems>
  <colFields count="1">
    <field x="4"/>
  </colFields>
  <colItems count="3">
    <i>
      <x v="1"/>
    </i>
    <i>
      <x v="2"/>
    </i>
    <i t="grand">
      <x/>
    </i>
  </colItems>
  <pageFields count="1">
    <pageField fld="5" item="0" hier="-1"/>
  </pageFields>
  <dataFields count="1">
    <dataField name="Count of Stat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F732F4-B6D8-4EFE-BFFD-2446D6F352E1}"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6" firstHeaderRow="1" firstDataRow="2" firstDataCol="1" rowPageCount="1" colPageCount="1"/>
  <pivotFields count="10">
    <pivotField numFmtId="14" showAll="0"/>
    <pivotField showAll="0"/>
    <pivotField showAll="0">
      <items count="10">
        <item x="1"/>
        <item x="4"/>
        <item x="3"/>
        <item x="7"/>
        <item x="5"/>
        <item x="0"/>
        <item x="2"/>
        <item x="6"/>
        <item x="8"/>
        <item t="default"/>
      </items>
    </pivotField>
    <pivotField axis="axisRow" dataField="1" showAll="0">
      <items count="2">
        <item x="0"/>
        <item t="default"/>
      </items>
    </pivotField>
    <pivotField axis="axisCol" showAll="0">
      <items count="4">
        <item x="1"/>
        <item x="2"/>
        <item x="0"/>
        <item t="default"/>
      </items>
    </pivotField>
    <pivotField axis="axisPage" showAll="0">
      <items count="6">
        <item x="3"/>
        <item x="2"/>
        <item x="0"/>
        <item x="4"/>
        <item x="1"/>
        <item t="default"/>
      </items>
    </pivotField>
    <pivotField showAll="0"/>
    <pivotField showAll="0"/>
    <pivotField showAll="0"/>
    <pivotField showAll="0">
      <items count="16">
        <item x="14"/>
        <item x="8"/>
        <item x="5"/>
        <item x="3"/>
        <item x="11"/>
        <item x="10"/>
        <item x="4"/>
        <item x="13"/>
        <item x="1"/>
        <item x="0"/>
        <item x="7"/>
        <item x="6"/>
        <item x="9"/>
        <item x="12"/>
        <item x="2"/>
        <item t="default"/>
      </items>
    </pivotField>
  </pivotFields>
  <rowFields count="1">
    <field x="3"/>
  </rowFields>
  <rowItems count="2">
    <i>
      <x/>
    </i>
    <i t="grand">
      <x/>
    </i>
  </rowItems>
  <colFields count="1">
    <field x="4"/>
  </colFields>
  <colItems count="3">
    <i>
      <x/>
    </i>
    <i>
      <x v="1"/>
    </i>
    <i t="grand">
      <x/>
    </i>
  </colItems>
  <pageFields count="1">
    <pageField fld="5" item="1" hier="-1"/>
  </pageFields>
  <dataFields count="1">
    <dataField name="Count of State" fld="3" subtotal="count" baseField="0" baseItem="0"/>
  </dataFields>
  <chartFormats count="2">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F732F4-B6D8-4EFE-BFFD-2446D6F352E1}"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6" firstHeaderRow="1" firstDataRow="2" firstDataCol="1" rowPageCount="1" colPageCount="1"/>
  <pivotFields count="10">
    <pivotField numFmtId="14" showAll="0"/>
    <pivotField showAll="0"/>
    <pivotField showAll="0">
      <items count="10">
        <item x="1"/>
        <item x="4"/>
        <item x="3"/>
        <item x="7"/>
        <item x="5"/>
        <item x="0"/>
        <item x="2"/>
        <item x="6"/>
        <item x="8"/>
        <item t="default"/>
      </items>
    </pivotField>
    <pivotField axis="axisRow" dataField="1" showAll="0">
      <items count="2">
        <item x="0"/>
        <item t="default"/>
      </items>
    </pivotField>
    <pivotField axis="axisCol" showAll="0">
      <items count="4">
        <item x="1"/>
        <item x="2"/>
        <item x="0"/>
        <item t="default"/>
      </items>
    </pivotField>
    <pivotField axis="axisPage" showAll="0">
      <items count="6">
        <item x="3"/>
        <item x="2"/>
        <item x="0"/>
        <item x="4"/>
        <item x="1"/>
        <item t="default"/>
      </items>
    </pivotField>
    <pivotField showAll="0"/>
    <pivotField showAll="0"/>
    <pivotField showAll="0"/>
    <pivotField showAll="0">
      <items count="16">
        <item x="14"/>
        <item x="8"/>
        <item x="5"/>
        <item x="3"/>
        <item x="11"/>
        <item x="10"/>
        <item x="4"/>
        <item x="13"/>
        <item x="1"/>
        <item x="0"/>
        <item x="7"/>
        <item x="6"/>
        <item x="9"/>
        <item x="12"/>
        <item x="2"/>
        <item t="default"/>
      </items>
    </pivotField>
  </pivotFields>
  <rowFields count="1">
    <field x="3"/>
  </rowFields>
  <rowItems count="2">
    <i>
      <x/>
    </i>
    <i t="grand">
      <x/>
    </i>
  </rowItems>
  <colFields count="1">
    <field x="4"/>
  </colFields>
  <colItems count="4">
    <i>
      <x/>
    </i>
    <i>
      <x v="1"/>
    </i>
    <i>
      <x v="2"/>
    </i>
    <i t="grand">
      <x/>
    </i>
  </colItems>
  <pageFields count="1">
    <pageField fld="5" item="2" hier="-1"/>
  </pageFields>
  <dataFields count="1">
    <dataField name="Count of Stat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37F211-C2B1-45F6-B3B0-55D5F9170BC0}" name="PivotTable12"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4" firstHeaderRow="1" firstDataRow="1" firstDataCol="1"/>
  <pivotFields count="10">
    <pivotField axis="axisRow" numFmtId="14" showAll="0">
      <items count="7">
        <item x="0"/>
        <item x="4"/>
        <item x="5"/>
        <item x="3"/>
        <item x="2"/>
        <item x="1"/>
        <item t="default"/>
      </items>
    </pivotField>
    <pivotField showAll="0"/>
    <pivotField showAll="0"/>
    <pivotField showAll="0"/>
    <pivotField showAll="0"/>
    <pivotField showAll="0"/>
    <pivotField showAll="0"/>
    <pivotField dataField="1" showAll="0">
      <items count="4">
        <item x="2"/>
        <item x="0"/>
        <item x="1"/>
        <item t="default"/>
      </items>
    </pivotField>
    <pivotField showAll="0"/>
    <pivotField showAll="0"/>
  </pivotFields>
  <rowFields count="1">
    <field x="0"/>
  </rowFields>
  <rowItems count="1">
    <i t="grand">
      <x/>
    </i>
  </rowItems>
  <colItems count="1">
    <i/>
  </colItems>
  <dataFields count="1">
    <dataField name="Sum of Quantity" fld="7" baseField="0" baseItem="0"/>
  </dataFields>
  <pivotTableStyleInfo name="PivotStyleLight16" showRowHeaders="1" showColHeaders="1" showRowStripes="0" showColStripes="0" showLastColumn="1"/>
  <filters count="1">
    <filter fld="0" type="dateBetween" evalOrder="-1" id="28" name="Sales Date">
      <autoFilter ref="A1">
        <filterColumn colId="0">
          <customFilters and="1">
            <customFilter operator="greaterThanOrEqual" val="45870"/>
            <customFilter operator="lessThanOrEqual" val="459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F732F4-B6D8-4EFE-BFFD-2446D6F352E1}" name="PivotTable1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C7" firstHeaderRow="0" firstDataRow="1" firstDataCol="1" rowPageCount="1" colPageCount="1"/>
  <pivotFields count="10">
    <pivotField numFmtId="14" showAll="0">
      <items count="21">
        <item x="0"/>
        <item x="1"/>
        <item x="2"/>
        <item x="3"/>
        <item x="4"/>
        <item x="5"/>
        <item x="6"/>
        <item x="7"/>
        <item x="8"/>
        <item x="9"/>
        <item x="10"/>
        <item x="11"/>
        <item x="12"/>
        <item x="13"/>
        <item x="14"/>
        <item x="15"/>
        <item x="16"/>
        <item x="17"/>
        <item x="18"/>
        <item x="19"/>
        <item t="default"/>
      </items>
    </pivotField>
    <pivotField showAll="0">
      <items count="21">
        <item x="7"/>
        <item x="13"/>
        <item x="3"/>
        <item x="18"/>
        <item x="2"/>
        <item x="12"/>
        <item x="9"/>
        <item x="8"/>
        <item x="6"/>
        <item x="14"/>
        <item x="5"/>
        <item x="0"/>
        <item x="17"/>
        <item x="4"/>
        <item x="11"/>
        <item x="16"/>
        <item x="10"/>
        <item x="19"/>
        <item x="1"/>
        <item x="15"/>
        <item t="default"/>
      </items>
    </pivotField>
    <pivotField showAll="0">
      <items count="10">
        <item x="1"/>
        <item x="4"/>
        <item x="3"/>
        <item x="7"/>
        <item x="5"/>
        <item x="0"/>
        <item x="2"/>
        <item x="6"/>
        <item x="8"/>
        <item t="default"/>
      </items>
    </pivotField>
    <pivotField axis="axisRow" dataField="1" showAll="0">
      <items count="2">
        <item x="0"/>
        <item t="default"/>
      </items>
    </pivotField>
    <pivotField axis="axisRow" showAll="0">
      <items count="4">
        <item h="1" x="1"/>
        <item h="1" x="2"/>
        <item x="0"/>
        <item t="default"/>
      </items>
    </pivotField>
    <pivotField axis="axisPage" showAll="0">
      <items count="6">
        <item x="3"/>
        <item x="2"/>
        <item x="0"/>
        <item x="4"/>
        <item x="1"/>
        <item t="default"/>
      </items>
    </pivotField>
    <pivotField showAll="0">
      <items count="21">
        <item h="1" x="8"/>
        <item h="1" x="12"/>
        <item h="1" x="13"/>
        <item h="1" x="5"/>
        <item h="1" x="1"/>
        <item h="1" x="4"/>
        <item h="1" x="18"/>
        <item x="2"/>
        <item h="1" x="15"/>
        <item h="1" x="11"/>
        <item h="1" x="16"/>
        <item h="1" x="19"/>
        <item h="1" x="10"/>
        <item h="1" x="7"/>
        <item h="1" x="14"/>
        <item h="1" x="9"/>
        <item h="1" x="17"/>
        <item h="1" x="6"/>
        <item h="1" x="3"/>
        <item h="1" x="0"/>
        <item t="default"/>
      </items>
    </pivotField>
    <pivotField dataField="1" showAll="0"/>
    <pivotField showAll="0"/>
    <pivotField showAll="0">
      <items count="16">
        <item x="14"/>
        <item x="8"/>
        <item x="5"/>
        <item x="3"/>
        <item x="11"/>
        <item x="10"/>
        <item x="4"/>
        <item x="13"/>
        <item x="1"/>
        <item x="0"/>
        <item x="7"/>
        <item x="6"/>
        <item x="9"/>
        <item x="12"/>
        <item x="2"/>
        <item t="default"/>
      </items>
    </pivotField>
  </pivotFields>
  <rowFields count="2">
    <field x="3"/>
    <field x="4"/>
  </rowFields>
  <rowItems count="3">
    <i>
      <x/>
    </i>
    <i r="1">
      <x v="2"/>
    </i>
    <i t="grand">
      <x/>
    </i>
  </rowItems>
  <colFields count="1">
    <field x="-2"/>
  </colFields>
  <colItems count="2">
    <i>
      <x/>
    </i>
    <i i="1">
      <x v="1"/>
    </i>
  </colItems>
  <pageFields count="1">
    <pageField fld="5" hier="-1"/>
  </pageFields>
  <dataFields count="2">
    <dataField name="Count of State" fld="3" subtotal="count" baseField="0" baseItem="0"/>
    <dataField name="Sum of Quantity" fld="7" baseField="0" baseItem="0"/>
  </dataFields>
  <chartFormats count="2">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F732F4-B6D8-4EFE-BFFD-2446D6F352E1}" name="PivotTable10"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E7" firstHeaderRow="1" firstDataRow="3" firstDataCol="1" rowPageCount="1" colPageCount="1"/>
  <pivotFields count="10">
    <pivotField numFmtId="14" showAll="0">
      <items count="21">
        <item x="0"/>
        <item x="1"/>
        <item x="2"/>
        <item x="3"/>
        <item x="4"/>
        <item x="5"/>
        <item x="6"/>
        <item x="7"/>
        <item x="8"/>
        <item x="9"/>
        <item x="10"/>
        <item x="11"/>
        <item x="12"/>
        <item x="13"/>
        <item x="14"/>
        <item x="15"/>
        <item x="16"/>
        <item x="17"/>
        <item x="18"/>
        <item x="19"/>
        <item t="default"/>
      </items>
    </pivotField>
    <pivotField showAll="0">
      <items count="21">
        <item x="7"/>
        <item x="13"/>
        <item x="3"/>
        <item x="18"/>
        <item x="2"/>
        <item x="12"/>
        <item x="9"/>
        <item x="8"/>
        <item x="6"/>
        <item x="14"/>
        <item x="5"/>
        <item x="0"/>
        <item x="17"/>
        <item x="4"/>
        <item x="11"/>
        <item x="16"/>
        <item x="10"/>
        <item x="19"/>
        <item x="1"/>
        <item x="15"/>
        <item t="default"/>
      </items>
    </pivotField>
    <pivotField showAll="0">
      <items count="10">
        <item x="1"/>
        <item x="4"/>
        <item x="3"/>
        <item x="7"/>
        <item x="5"/>
        <item x="0"/>
        <item x="2"/>
        <item x="6"/>
        <item x="8"/>
        <item t="default"/>
      </items>
    </pivotField>
    <pivotField axis="axisRow" dataField="1" showAll="0">
      <items count="2">
        <item x="0"/>
        <item t="default"/>
      </items>
    </pivotField>
    <pivotField axis="axisCol" showAll="0">
      <items count="4">
        <item x="1"/>
        <item h="1" x="2"/>
        <item h="1" x="0"/>
        <item t="default"/>
      </items>
    </pivotField>
    <pivotField axis="axisPage" showAll="0">
      <items count="6">
        <item x="3"/>
        <item x="2"/>
        <item x="0"/>
        <item x="4"/>
        <item x="1"/>
        <item t="default"/>
      </items>
    </pivotField>
    <pivotField showAll="0">
      <items count="21">
        <item x="8"/>
        <item x="12"/>
        <item x="13"/>
        <item x="5"/>
        <item x="1"/>
        <item x="4"/>
        <item x="18"/>
        <item x="2"/>
        <item x="15"/>
        <item x="11"/>
        <item x="16"/>
        <item x="19"/>
        <item x="10"/>
        <item x="7"/>
        <item x="14"/>
        <item x="9"/>
        <item x="17"/>
        <item x="6"/>
        <item x="3"/>
        <item x="0"/>
        <item t="default"/>
      </items>
    </pivotField>
    <pivotField dataField="1" showAll="0"/>
    <pivotField showAll="0"/>
    <pivotField showAll="0">
      <items count="16">
        <item x="14"/>
        <item x="8"/>
        <item x="5"/>
        <item x="3"/>
        <item x="11"/>
        <item x="10"/>
        <item x="4"/>
        <item x="13"/>
        <item x="1"/>
        <item x="0"/>
        <item x="7"/>
        <item x="6"/>
        <item x="9"/>
        <item x="12"/>
        <item x="2"/>
        <item t="default"/>
      </items>
    </pivotField>
  </pivotFields>
  <rowFields count="1">
    <field x="3"/>
  </rowFields>
  <rowItems count="2">
    <i>
      <x/>
    </i>
    <i t="grand">
      <x/>
    </i>
  </rowItems>
  <colFields count="2">
    <field x="4"/>
    <field x="-2"/>
  </colFields>
  <colItems count="4">
    <i>
      <x/>
      <x/>
    </i>
    <i r="1" i="1">
      <x v="1"/>
    </i>
    <i t="grand">
      <x/>
    </i>
    <i t="grand" i="1">
      <x/>
    </i>
  </colItems>
  <pageFields count="1">
    <pageField fld="5" item="1" hier="-1"/>
  </pageFields>
  <dataFields count="2">
    <dataField name="Count of State" fld="3" subtotal="count" baseField="0" baseItem="0"/>
    <dataField name="Sum of Quantity" fld="7" baseField="0" baseItem="0"/>
  </dataFields>
  <chartFormats count="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1"/>
          </reference>
          <reference field="4" count="1" selected="0">
            <x v="0"/>
          </reference>
        </references>
      </pivotArea>
    </chartFormat>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1"/>
          </reference>
          <reference field="4" count="1" selected="0">
            <x v="1"/>
          </reference>
        </references>
      </pivotArea>
    </chartFormat>
    <chartFormat chart="0" format="4" series="1">
      <pivotArea type="data" grandCol="1" outline="0" fieldPosition="0">
        <references count="1">
          <reference field="4294967294" count="1" selected="0">
            <x v="0"/>
          </reference>
        </references>
      </pivotArea>
    </chartFormat>
    <chartFormat chart="0" format="5" series="1">
      <pivotArea type="data" grandCol="1"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F732F4-B6D8-4EFE-BFFD-2446D6F352E1}" name="PivotTable9"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7" firstHeaderRow="1" firstDataRow="3" firstDataCol="1" rowPageCount="1" colPageCount="1"/>
  <pivotFields count="10">
    <pivotField numFmtId="14" showAll="0">
      <items count="21">
        <item x="0"/>
        <item x="1"/>
        <item x="2"/>
        <item x="3"/>
        <item x="4"/>
        <item x="5"/>
        <item x="6"/>
        <item x="7"/>
        <item x="8"/>
        <item x="9"/>
        <item x="10"/>
        <item x="11"/>
        <item x="12"/>
        <item x="13"/>
        <item x="14"/>
        <item x="15"/>
        <item x="16"/>
        <item x="17"/>
        <item x="18"/>
        <item x="19"/>
        <item t="default"/>
      </items>
    </pivotField>
    <pivotField showAll="0">
      <items count="21">
        <item x="7"/>
        <item x="13"/>
        <item x="3"/>
        <item x="18"/>
        <item x="2"/>
        <item x="12"/>
        <item x="9"/>
        <item x="8"/>
        <item x="6"/>
        <item x="14"/>
        <item x="5"/>
        <item x="0"/>
        <item x="17"/>
        <item x="4"/>
        <item x="11"/>
        <item x="16"/>
        <item x="10"/>
        <item x="19"/>
        <item x="1"/>
        <item x="15"/>
        <item t="default"/>
      </items>
    </pivotField>
    <pivotField showAll="0">
      <items count="10">
        <item x="1"/>
        <item x="4"/>
        <item x="3"/>
        <item x="7"/>
        <item x="5"/>
        <item x="0"/>
        <item x="2"/>
        <item x="6"/>
        <item x="8"/>
        <item t="default"/>
      </items>
    </pivotField>
    <pivotField axis="axisRow" dataField="1" showAll="0">
      <items count="2">
        <item x="0"/>
        <item t="default"/>
      </items>
    </pivotField>
    <pivotField axis="axisCol" showAll="0">
      <items count="4">
        <item x="1"/>
        <item x="2"/>
        <item x="0"/>
        <item t="default"/>
      </items>
    </pivotField>
    <pivotField axis="axisPage" showAll="0">
      <items count="6">
        <item x="3"/>
        <item x="2"/>
        <item x="0"/>
        <item x="4"/>
        <item x="1"/>
        <item t="default"/>
      </items>
    </pivotField>
    <pivotField showAll="0">
      <items count="21">
        <item x="8"/>
        <item x="12"/>
        <item x="13"/>
        <item x="5"/>
        <item x="1"/>
        <item x="4"/>
        <item x="18"/>
        <item x="2"/>
        <item x="15"/>
        <item x="11"/>
        <item x="16"/>
        <item x="19"/>
        <item x="10"/>
        <item x="7"/>
        <item x="14"/>
        <item x="9"/>
        <item x="17"/>
        <item x="6"/>
        <item x="3"/>
        <item x="0"/>
        <item t="default"/>
      </items>
    </pivotField>
    <pivotField dataField="1" showAll="0"/>
    <pivotField showAll="0"/>
    <pivotField showAll="0">
      <items count="16">
        <item x="14"/>
        <item x="8"/>
        <item x="5"/>
        <item x="3"/>
        <item x="11"/>
        <item x="10"/>
        <item x="4"/>
        <item x="13"/>
        <item x="1"/>
        <item x="0"/>
        <item x="7"/>
        <item x="6"/>
        <item x="9"/>
        <item x="12"/>
        <item x="2"/>
        <item t="default"/>
      </items>
    </pivotField>
  </pivotFields>
  <rowFields count="1">
    <field x="3"/>
  </rowFields>
  <rowItems count="2">
    <i>
      <x/>
    </i>
    <i t="grand">
      <x/>
    </i>
  </rowItems>
  <colFields count="2">
    <field x="4"/>
    <field x="-2"/>
  </colFields>
  <colItems count="8">
    <i>
      <x/>
      <x/>
    </i>
    <i r="1" i="1">
      <x v="1"/>
    </i>
    <i>
      <x v="1"/>
      <x/>
    </i>
    <i r="1" i="1">
      <x v="1"/>
    </i>
    <i>
      <x v="2"/>
      <x/>
    </i>
    <i r="1" i="1">
      <x v="1"/>
    </i>
    <i t="grand">
      <x/>
    </i>
    <i t="grand" i="1">
      <x/>
    </i>
  </colItems>
  <pageFields count="1">
    <pageField fld="5" item="2" hier="-1"/>
  </pageFields>
  <dataFields count="2">
    <dataField name="Count of State" fld="3" subtotal="count" baseField="0" baseItem="0"/>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F732F4-B6D8-4EFE-BFFD-2446D6F352E1}" name="PivotTable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7" firstHeaderRow="1" firstDataRow="3" firstDataCol="1" rowPageCount="1" colPageCount="1"/>
  <pivotFields count="10">
    <pivotField numFmtId="14" showAll="0">
      <items count="21">
        <item x="0"/>
        <item x="1"/>
        <item x="2"/>
        <item x="3"/>
        <item x="4"/>
        <item x="5"/>
        <item x="6"/>
        <item x="7"/>
        <item x="8"/>
        <item x="9"/>
        <item x="10"/>
        <item x="11"/>
        <item x="12"/>
        <item x="13"/>
        <item x="14"/>
        <item x="15"/>
        <item x="16"/>
        <item x="17"/>
        <item x="18"/>
        <item x="19"/>
        <item t="default"/>
      </items>
    </pivotField>
    <pivotField showAll="0">
      <items count="21">
        <item x="7"/>
        <item x="13"/>
        <item x="3"/>
        <item x="18"/>
        <item x="2"/>
        <item x="12"/>
        <item x="9"/>
        <item x="8"/>
        <item x="6"/>
        <item x="14"/>
        <item x="5"/>
        <item x="0"/>
        <item x="17"/>
        <item x="4"/>
        <item x="11"/>
        <item x="16"/>
        <item x="10"/>
        <item x="19"/>
        <item x="1"/>
        <item x="15"/>
        <item t="default"/>
      </items>
    </pivotField>
    <pivotField showAll="0">
      <items count="10">
        <item x="1"/>
        <item x="4"/>
        <item x="3"/>
        <item x="7"/>
        <item x="5"/>
        <item x="0"/>
        <item x="2"/>
        <item x="6"/>
        <item x="8"/>
        <item t="default"/>
      </items>
    </pivotField>
    <pivotField axis="axisRow" dataField="1" showAll="0">
      <items count="2">
        <item x="0"/>
        <item t="default"/>
      </items>
    </pivotField>
    <pivotField axis="axisCol" showAll="0">
      <items count="4">
        <item x="1"/>
        <item x="2"/>
        <item x="0"/>
        <item t="default"/>
      </items>
    </pivotField>
    <pivotField axis="axisPage" showAll="0">
      <items count="6">
        <item x="3"/>
        <item x="2"/>
        <item x="0"/>
        <item x="4"/>
        <item x="1"/>
        <item t="default"/>
      </items>
    </pivotField>
    <pivotField showAll="0">
      <items count="21">
        <item x="8"/>
        <item x="12"/>
        <item x="13"/>
        <item x="5"/>
        <item x="1"/>
        <item x="4"/>
        <item x="18"/>
        <item x="2"/>
        <item x="15"/>
        <item x="11"/>
        <item x="16"/>
        <item x="19"/>
        <item x="10"/>
        <item x="7"/>
        <item x="14"/>
        <item x="9"/>
        <item x="17"/>
        <item x="6"/>
        <item x="3"/>
        <item x="0"/>
        <item t="default"/>
      </items>
    </pivotField>
    <pivotField dataField="1" showAll="0"/>
    <pivotField showAll="0"/>
    <pivotField showAll="0">
      <items count="16">
        <item x="14"/>
        <item x="8"/>
        <item x="5"/>
        <item x="3"/>
        <item x="11"/>
        <item x="10"/>
        <item x="4"/>
        <item x="13"/>
        <item x="1"/>
        <item x="0"/>
        <item x="7"/>
        <item x="6"/>
        <item x="9"/>
        <item x="12"/>
        <item x="2"/>
        <item t="default"/>
      </items>
    </pivotField>
  </pivotFields>
  <rowFields count="1">
    <field x="3"/>
  </rowFields>
  <rowItems count="2">
    <i>
      <x/>
    </i>
    <i t="grand">
      <x/>
    </i>
  </rowItems>
  <colFields count="2">
    <field x="4"/>
    <field x="-2"/>
  </colFields>
  <colItems count="4">
    <i>
      <x v="1"/>
      <x/>
    </i>
    <i r="1" i="1">
      <x v="1"/>
    </i>
    <i t="grand">
      <x/>
    </i>
    <i t="grand" i="1">
      <x/>
    </i>
  </colItems>
  <pageFields count="1">
    <pageField fld="5" item="3" hier="-1"/>
  </pageFields>
  <dataFields count="2">
    <dataField name="Count of State" fld="3" subtotal="count" baseField="0" baseItem="0"/>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0F732F4-B6D8-4EFE-BFFD-2446D6F352E1}"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7" firstHeaderRow="1" firstDataRow="3" firstDataCol="1" rowPageCount="1" colPageCount="1"/>
  <pivotFields count="10">
    <pivotField numFmtId="14" showAll="0">
      <items count="21">
        <item x="0"/>
        <item x="1"/>
        <item x="2"/>
        <item x="3"/>
        <item x="4"/>
        <item x="5"/>
        <item x="6"/>
        <item x="7"/>
        <item x="8"/>
        <item x="9"/>
        <item x="10"/>
        <item x="11"/>
        <item x="12"/>
        <item x="13"/>
        <item x="14"/>
        <item x="15"/>
        <item x="16"/>
        <item x="17"/>
        <item x="18"/>
        <item x="19"/>
        <item t="default"/>
      </items>
    </pivotField>
    <pivotField showAll="0">
      <items count="21">
        <item x="7"/>
        <item x="13"/>
        <item x="3"/>
        <item x="18"/>
        <item x="2"/>
        <item x="12"/>
        <item x="9"/>
        <item x="8"/>
        <item x="6"/>
        <item x="14"/>
        <item x="5"/>
        <item x="0"/>
        <item x="17"/>
        <item x="4"/>
        <item x="11"/>
        <item x="16"/>
        <item x="10"/>
        <item x="19"/>
        <item x="1"/>
        <item x="15"/>
        <item t="default"/>
      </items>
    </pivotField>
    <pivotField showAll="0">
      <items count="10">
        <item x="1"/>
        <item x="4"/>
        <item x="3"/>
        <item x="7"/>
        <item x="5"/>
        <item x="0"/>
        <item x="2"/>
        <item x="6"/>
        <item x="8"/>
        <item t="default"/>
      </items>
    </pivotField>
    <pivotField axis="axisRow" dataField="1" showAll="0">
      <items count="2">
        <item x="0"/>
        <item t="default"/>
      </items>
    </pivotField>
    <pivotField axis="axisCol" showAll="0">
      <items count="4">
        <item x="1"/>
        <item x="2"/>
        <item x="0"/>
        <item t="default"/>
      </items>
    </pivotField>
    <pivotField axis="axisPage" showAll="0">
      <items count="6">
        <item x="3"/>
        <item x="2"/>
        <item x="0"/>
        <item x="4"/>
        <item x="1"/>
        <item t="default"/>
      </items>
    </pivotField>
    <pivotField showAll="0">
      <items count="21">
        <item x="8"/>
        <item x="12"/>
        <item x="13"/>
        <item x="5"/>
        <item x="1"/>
        <item x="4"/>
        <item x="18"/>
        <item x="2"/>
        <item x="15"/>
        <item x="11"/>
        <item x="16"/>
        <item x="19"/>
        <item x="10"/>
        <item x="7"/>
        <item x="14"/>
        <item x="9"/>
        <item x="17"/>
        <item x="6"/>
        <item x="3"/>
        <item x="0"/>
        <item t="default"/>
      </items>
    </pivotField>
    <pivotField dataField="1" showAll="0"/>
    <pivotField showAll="0"/>
    <pivotField showAll="0">
      <items count="16">
        <item x="14"/>
        <item x="8"/>
        <item x="5"/>
        <item x="3"/>
        <item x="11"/>
        <item x="10"/>
        <item x="4"/>
        <item x="13"/>
        <item x="1"/>
        <item x="0"/>
        <item x="7"/>
        <item x="6"/>
        <item x="9"/>
        <item x="12"/>
        <item x="2"/>
        <item t="default"/>
      </items>
    </pivotField>
  </pivotFields>
  <rowFields count="1">
    <field x="3"/>
  </rowFields>
  <rowItems count="2">
    <i>
      <x/>
    </i>
    <i t="grand">
      <x/>
    </i>
  </rowItems>
  <colFields count="2">
    <field x="4"/>
    <field x="-2"/>
  </colFields>
  <colItems count="6">
    <i>
      <x/>
      <x/>
    </i>
    <i r="1" i="1">
      <x v="1"/>
    </i>
    <i>
      <x v="2"/>
      <x/>
    </i>
    <i r="1" i="1">
      <x v="1"/>
    </i>
    <i t="grand">
      <x/>
    </i>
    <i t="grand" i="1">
      <x/>
    </i>
  </colItems>
  <pageFields count="1">
    <pageField fld="5" item="4" hier="-1"/>
  </pageFields>
  <dataFields count="2">
    <dataField name="Count of State" fld="3" subtotal="count" baseField="0" baseItem="0"/>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0F732F4-B6D8-4EFE-BFFD-2446D6F352E1}"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7" firstHeaderRow="1" firstDataRow="3" firstDataCol="1" rowPageCount="1" colPageCount="1"/>
  <pivotFields count="10">
    <pivotField numFmtId="14" showAll="0">
      <items count="21">
        <item x="0"/>
        <item x="1"/>
        <item x="2"/>
        <item x="3"/>
        <item x="4"/>
        <item x="5"/>
        <item x="6"/>
        <item x="7"/>
        <item x="8"/>
        <item x="9"/>
        <item x="10"/>
        <item x="11"/>
        <item x="12"/>
        <item x="13"/>
        <item x="14"/>
        <item x="15"/>
        <item x="16"/>
        <item x="17"/>
        <item x="18"/>
        <item x="19"/>
        <item t="default"/>
      </items>
    </pivotField>
    <pivotField showAll="0">
      <items count="21">
        <item x="7"/>
        <item x="13"/>
        <item x="3"/>
        <item x="18"/>
        <item x="2"/>
        <item x="12"/>
        <item x="9"/>
        <item x="8"/>
        <item x="6"/>
        <item x="14"/>
        <item x="5"/>
        <item x="0"/>
        <item x="17"/>
        <item x="4"/>
        <item x="11"/>
        <item x="16"/>
        <item x="10"/>
        <item x="19"/>
        <item x="1"/>
        <item x="15"/>
        <item t="default"/>
      </items>
    </pivotField>
    <pivotField showAll="0">
      <items count="10">
        <item x="1"/>
        <item x="4"/>
        <item x="3"/>
        <item x="7"/>
        <item x="5"/>
        <item x="0"/>
        <item x="2"/>
        <item x="6"/>
        <item x="8"/>
        <item t="default"/>
      </items>
    </pivotField>
    <pivotField axis="axisRow" dataField="1" showAll="0">
      <items count="2">
        <item x="0"/>
        <item t="default"/>
      </items>
    </pivotField>
    <pivotField axis="axisCol" showAll="0">
      <items count="4">
        <item x="1"/>
        <item x="2"/>
        <item x="0"/>
        <item t="default"/>
      </items>
    </pivotField>
    <pivotField axis="axisPage" multipleItemSelectionAllowed="1" showAll="0">
      <items count="6">
        <item x="3"/>
        <item x="2"/>
        <item x="0"/>
        <item x="4"/>
        <item x="1"/>
        <item t="default"/>
      </items>
    </pivotField>
    <pivotField showAll="0">
      <items count="21">
        <item x="8"/>
        <item x="12"/>
        <item x="13"/>
        <item x="5"/>
        <item x="1"/>
        <item x="4"/>
        <item x="18"/>
        <item x="2"/>
        <item x="15"/>
        <item x="11"/>
        <item x="16"/>
        <item x="19"/>
        <item x="10"/>
        <item x="7"/>
        <item x="14"/>
        <item x="9"/>
        <item x="17"/>
        <item x="6"/>
        <item x="3"/>
        <item x="0"/>
        <item t="default"/>
      </items>
    </pivotField>
    <pivotField dataField="1" showAll="0"/>
    <pivotField showAll="0"/>
    <pivotField showAll="0">
      <items count="16">
        <item x="14"/>
        <item x="8"/>
        <item x="5"/>
        <item x="3"/>
        <item x="11"/>
        <item x="10"/>
        <item x="4"/>
        <item x="13"/>
        <item x="1"/>
        <item x="0"/>
        <item x="7"/>
        <item x="6"/>
        <item x="9"/>
        <item x="12"/>
        <item x="2"/>
        <item t="default"/>
      </items>
    </pivotField>
  </pivotFields>
  <rowFields count="1">
    <field x="3"/>
  </rowFields>
  <rowItems count="2">
    <i>
      <x/>
    </i>
    <i t="grand">
      <x/>
    </i>
  </rowItems>
  <colFields count="2">
    <field x="4"/>
    <field x="-2"/>
  </colFields>
  <colItems count="8">
    <i>
      <x/>
      <x/>
    </i>
    <i r="1" i="1">
      <x v="1"/>
    </i>
    <i>
      <x v="1"/>
      <x/>
    </i>
    <i r="1" i="1">
      <x v="1"/>
    </i>
    <i>
      <x v="2"/>
      <x/>
    </i>
    <i r="1" i="1">
      <x v="1"/>
    </i>
    <i t="grand">
      <x/>
    </i>
    <i t="grand" i="1">
      <x/>
    </i>
  </colItems>
  <pageFields count="1">
    <pageField fld="5" hier="-1"/>
  </pageFields>
  <dataFields count="2">
    <dataField name="Count of State" fld="3" subtotal="count" baseField="0" baseItem="0"/>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0F732F4-B6D8-4EFE-BFFD-2446D6F352E1}"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6" firstHeaderRow="1" firstDataRow="2" firstDataCol="1" rowPageCount="1" colPageCount="1"/>
  <pivotFields count="10">
    <pivotField numFmtId="14" showAll="0"/>
    <pivotField showAll="0"/>
    <pivotField showAll="0">
      <items count="10">
        <item x="1"/>
        <item x="4"/>
        <item x="3"/>
        <item x="7"/>
        <item x="5"/>
        <item x="0"/>
        <item x="2"/>
        <item x="6"/>
        <item x="8"/>
        <item t="default"/>
      </items>
    </pivotField>
    <pivotField axis="axisRow" dataField="1" showAll="0">
      <items count="2">
        <item x="0"/>
        <item t="default"/>
      </items>
    </pivotField>
    <pivotField axis="axisCol" showAll="0">
      <items count="4">
        <item x="1"/>
        <item x="2"/>
        <item x="0"/>
        <item t="default"/>
      </items>
    </pivotField>
    <pivotField axis="axisPage" showAll="0">
      <items count="6">
        <item x="3"/>
        <item x="2"/>
        <item x="0"/>
        <item x="4"/>
        <item x="1"/>
        <item t="default"/>
      </items>
    </pivotField>
    <pivotField showAll="0"/>
    <pivotField showAll="0"/>
    <pivotField showAll="0"/>
    <pivotField showAll="0">
      <items count="16">
        <item x="14"/>
        <item x="8"/>
        <item x="5"/>
        <item x="3"/>
        <item x="11"/>
        <item x="10"/>
        <item x="4"/>
        <item x="13"/>
        <item x="1"/>
        <item x="0"/>
        <item x="7"/>
        <item x="6"/>
        <item x="9"/>
        <item x="12"/>
        <item x="2"/>
        <item t="default"/>
      </items>
    </pivotField>
  </pivotFields>
  <rowFields count="1">
    <field x="3"/>
  </rowFields>
  <rowItems count="2">
    <i>
      <x/>
    </i>
    <i t="grand">
      <x/>
    </i>
  </rowItems>
  <colFields count="1">
    <field x="4"/>
  </colFields>
  <colItems count="3">
    <i>
      <x/>
    </i>
    <i>
      <x v="2"/>
    </i>
    <i t="grand">
      <x/>
    </i>
  </colItems>
  <pageFields count="1">
    <pageField fld="5" item="4" hier="-1"/>
  </pageFields>
  <dataFields count="1">
    <dataField name="Count of Stat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0F732F4-B6D8-4EFE-BFFD-2446D6F352E1}"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M3:Q6" firstHeaderRow="1" firstDataRow="2" firstDataCol="1" rowPageCount="1" colPageCount="1"/>
  <pivotFields count="10">
    <pivotField numFmtId="14" showAll="0"/>
    <pivotField showAll="0"/>
    <pivotField showAll="0">
      <items count="10">
        <item x="1"/>
        <item x="4"/>
        <item x="3"/>
        <item x="7"/>
        <item x="5"/>
        <item x="0"/>
        <item x="2"/>
        <item x="6"/>
        <item x="8"/>
        <item t="default"/>
      </items>
    </pivotField>
    <pivotField axis="axisRow" dataField="1" showAll="0">
      <items count="2">
        <item x="0"/>
        <item t="default"/>
      </items>
    </pivotField>
    <pivotField axis="axisCol" showAll="0">
      <items count="4">
        <item x="1"/>
        <item x="2"/>
        <item x="0"/>
        <item t="default"/>
      </items>
    </pivotField>
    <pivotField axis="axisPage" multipleItemSelectionAllowed="1" showAll="0">
      <items count="6">
        <item x="3"/>
        <item x="2"/>
        <item x="0"/>
        <item x="4"/>
        <item x="1"/>
        <item t="default"/>
      </items>
    </pivotField>
    <pivotField showAll="0"/>
    <pivotField showAll="0"/>
    <pivotField showAll="0"/>
    <pivotField showAll="0">
      <items count="16">
        <item x="14"/>
        <item x="8"/>
        <item x="5"/>
        <item x="3"/>
        <item x="11"/>
        <item x="10"/>
        <item x="4"/>
        <item x="13"/>
        <item x="1"/>
        <item x="0"/>
        <item x="7"/>
        <item x="6"/>
        <item x="9"/>
        <item x="12"/>
        <item x="2"/>
        <item t="default"/>
      </items>
    </pivotField>
  </pivotFields>
  <rowFields count="1">
    <field x="3"/>
  </rowFields>
  <rowItems count="2">
    <i>
      <x/>
    </i>
    <i t="grand">
      <x/>
    </i>
  </rowItems>
  <colFields count="1">
    <field x="4"/>
  </colFields>
  <colItems count="4">
    <i>
      <x/>
    </i>
    <i>
      <x v="1"/>
    </i>
    <i>
      <x v="2"/>
    </i>
    <i t="grand">
      <x/>
    </i>
  </colItems>
  <pageFields count="1">
    <pageField fld="5" hier="-1"/>
  </pageFields>
  <dataFields count="1">
    <dataField name="Count of State" fld="3" subtotal="count" baseField="0" baseItem="0"/>
  </dataFields>
  <chartFormats count="3">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2B5E70-E9F8-43E5-94ED-709FC1980D60}" sourceName="Region">
  <pivotTables>
    <pivotTable tabId="12" name="PivotTable10"/>
  </pivotTables>
  <data>
    <tabular pivotCacheId="1128572427">
      <items count="3">
        <i x="1" s="1"/>
        <i x="2"/>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22E8540-494B-4A83-B13D-830164D8826D}"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BFF70B-CBCF-4224-9858-261B5D673718}" name="Table1" displayName="Table1" ref="A3:J9" totalsRowShown="0">
  <autoFilter ref="A3:J9" xr:uid="{DFBFF70B-CBCF-4224-9858-261B5D673718}"/>
  <tableColumns count="10">
    <tableColumn id="1" xr3:uid="{05DD80A7-7F8A-4495-9987-62D001A9C9B1}" name="Sales Date" dataDxfId="0"/>
    <tableColumn id="2" xr3:uid="{B1EFBC46-61D4-434A-9146-1B51C74F23FF}" name="Customer Name"/>
    <tableColumn id="3" xr3:uid="{71D6F1CC-FAC9-4D2A-BB72-E25151873934}" name="City"/>
    <tableColumn id="4" xr3:uid="{20F5159A-A1C1-4893-9FA6-234C91AE3F20}" name="State"/>
    <tableColumn id="5" xr3:uid="{16292D2F-2CB1-4372-BBEE-B197544DB68D}" name="Region"/>
    <tableColumn id="6" xr3:uid="{E0668530-ABFC-4B38-B1D7-1A30B035B04A}" name="Product Category"/>
    <tableColumn id="7" xr3:uid="{F28948D1-0799-4E77-A2D7-F0CB64CF43FA}" name="Product Name"/>
    <tableColumn id="8" xr3:uid="{C46BF080-F6E3-4B16-97E0-49AED9CDA27B}" name="Quantity"/>
    <tableColumn id="9" xr3:uid="{B35FA27A-1A6B-43FD-B204-F9CBA555E15C}" name="Price Per Unit"/>
    <tableColumn id="10" xr3:uid="{641D8D28-9DF2-48BE-B343-804E330A6DEF}" name="Sales Amou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s_Date" xr10:uid="{6E7F6B74-319D-41E5-8526-2E6E09941070}" sourceName="Sales Date">
  <pivotTables>
    <pivotTable tabId="15" name="PivotTable12"/>
  </pivotTables>
  <state minimalRefreshVersion="6" lastRefreshVersion="6" pivotCacheId="142866998" filterType="dateBetween">
    <selection startDate="2025-08-01T00:00:00" endDate="2025-08-31T00:00:00"/>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s Date" xr10:uid="{B8AA04FF-66C9-4356-8EB5-3B27D21C7ABF}" cache="NativeTimeline_Sales_Date" caption="Sales Date" level="2" selectionLevel="2" scrollPosition="2025-01-01T00:00:00"/>
</timeline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1"/>
  <sheetViews>
    <sheetView zoomScale="75" workbookViewId="0">
      <selection activeCell="G8" sqref="G8"/>
    </sheetView>
  </sheetViews>
  <sheetFormatPr defaultRowHeight="14.4" x14ac:dyDescent="0.3"/>
  <cols>
    <col min="6" max="6" width="11.5546875" customWidth="1"/>
    <col min="9" max="9" width="15.77734375" customWidth="1"/>
    <col min="12" max="12" width="12" customWidth="1"/>
  </cols>
  <sheetData>
    <row r="1" spans="1:14" x14ac:dyDescent="0.3">
      <c r="A1" s="2" t="s">
        <v>0</v>
      </c>
      <c r="B1" s="2" t="s">
        <v>1</v>
      </c>
      <c r="C1" s="2" t="s">
        <v>2</v>
      </c>
      <c r="D1" s="2" t="s">
        <v>3</v>
      </c>
      <c r="E1" s="2" t="s">
        <v>4</v>
      </c>
      <c r="F1" s="2" t="s">
        <v>5</v>
      </c>
      <c r="I1" s="2" t="s">
        <v>2</v>
      </c>
      <c r="L1" s="2" t="s">
        <v>1</v>
      </c>
    </row>
    <row r="2" spans="1:14" x14ac:dyDescent="0.3">
      <c r="A2" s="1" t="s">
        <v>6</v>
      </c>
      <c r="B2" s="1" t="s">
        <v>7</v>
      </c>
      <c r="C2" s="1" t="s">
        <v>8</v>
      </c>
      <c r="D2" s="1">
        <v>10</v>
      </c>
      <c r="E2" s="1">
        <v>150</v>
      </c>
      <c r="F2" s="1">
        <v>1500</v>
      </c>
      <c r="I2" s="1" t="s">
        <v>8</v>
      </c>
      <c r="J2">
        <f>COUNTIF($C$1:$C$61,I2)</f>
        <v>14</v>
      </c>
      <c r="L2" s="1" t="s">
        <v>7</v>
      </c>
    </row>
    <row r="3" spans="1:14" x14ac:dyDescent="0.3">
      <c r="A3" s="1" t="s">
        <v>9</v>
      </c>
      <c r="B3" s="1" t="s">
        <v>10</v>
      </c>
      <c r="C3" s="1" t="s">
        <v>11</v>
      </c>
      <c r="D3" s="1">
        <v>3</v>
      </c>
      <c r="E3" s="1">
        <v>400</v>
      </c>
      <c r="F3" s="1">
        <v>1200</v>
      </c>
      <c r="I3" s="1" t="s">
        <v>11</v>
      </c>
      <c r="J3">
        <f t="shared" ref="J3:J5" si="0">COUNTIF($C$1:$C$61,I3)</f>
        <v>18</v>
      </c>
      <c r="L3" s="1" t="s">
        <v>10</v>
      </c>
    </row>
    <row r="4" spans="1:14" x14ac:dyDescent="0.3">
      <c r="A4" s="1" t="s">
        <v>12</v>
      </c>
      <c r="B4" s="1" t="s">
        <v>10</v>
      </c>
      <c r="C4" s="1" t="s">
        <v>8</v>
      </c>
      <c r="D4" s="1">
        <v>10</v>
      </c>
      <c r="E4" s="1">
        <v>350</v>
      </c>
      <c r="F4" s="1">
        <v>3500</v>
      </c>
      <c r="I4" s="1" t="s">
        <v>16</v>
      </c>
      <c r="J4">
        <f t="shared" si="0"/>
        <v>17</v>
      </c>
      <c r="L4" s="1" t="s">
        <v>14</v>
      </c>
    </row>
    <row r="5" spans="1:14" x14ac:dyDescent="0.3">
      <c r="A5" s="1" t="s">
        <v>13</v>
      </c>
      <c r="B5" s="1" t="s">
        <v>14</v>
      </c>
      <c r="C5" s="1" t="s">
        <v>11</v>
      </c>
      <c r="D5" s="1">
        <v>30</v>
      </c>
      <c r="E5" s="1">
        <v>350</v>
      </c>
      <c r="F5" s="1">
        <v>10500</v>
      </c>
      <c r="I5" s="1" t="s">
        <v>26</v>
      </c>
      <c r="J5">
        <f t="shared" si="0"/>
        <v>11</v>
      </c>
      <c r="L5" s="1" t="s">
        <v>19</v>
      </c>
    </row>
    <row r="6" spans="1:14" x14ac:dyDescent="0.3">
      <c r="A6" s="1" t="s">
        <v>15</v>
      </c>
      <c r="B6" s="1" t="s">
        <v>7</v>
      </c>
      <c r="C6" s="1" t="s">
        <v>16</v>
      </c>
      <c r="D6" s="1">
        <v>23</v>
      </c>
      <c r="E6" s="1">
        <v>150</v>
      </c>
      <c r="F6" s="1">
        <v>3450</v>
      </c>
      <c r="L6" s="1" t="s">
        <v>23</v>
      </c>
    </row>
    <row r="7" spans="1:14" x14ac:dyDescent="0.3">
      <c r="A7" s="1" t="s">
        <v>17</v>
      </c>
      <c r="B7" s="1" t="s">
        <v>10</v>
      </c>
      <c r="C7" s="1" t="s">
        <v>8</v>
      </c>
      <c r="D7" s="1">
        <v>3</v>
      </c>
      <c r="E7" s="1">
        <v>200</v>
      </c>
      <c r="F7" s="1">
        <v>600</v>
      </c>
    </row>
    <row r="8" spans="1:14" x14ac:dyDescent="0.3">
      <c r="A8" s="1" t="s">
        <v>18</v>
      </c>
      <c r="B8" s="1" t="s">
        <v>19</v>
      </c>
      <c r="C8" s="1" t="s">
        <v>11</v>
      </c>
      <c r="D8" s="1">
        <v>15</v>
      </c>
      <c r="E8" s="1">
        <v>250</v>
      </c>
      <c r="F8" s="1">
        <v>3750</v>
      </c>
    </row>
    <row r="9" spans="1:14" x14ac:dyDescent="0.3">
      <c r="A9" s="1" t="s">
        <v>20</v>
      </c>
      <c r="B9" s="1" t="s">
        <v>14</v>
      </c>
      <c r="C9" s="1" t="s">
        <v>11</v>
      </c>
      <c r="D9" s="1">
        <v>15</v>
      </c>
      <c r="E9" s="1">
        <v>350</v>
      </c>
      <c r="F9" s="1">
        <v>5250</v>
      </c>
      <c r="I9" s="2" t="s">
        <v>75</v>
      </c>
      <c r="J9" s="1" t="s">
        <v>7</v>
      </c>
      <c r="K9" s="1" t="s">
        <v>10</v>
      </c>
      <c r="L9" s="1" t="s">
        <v>14</v>
      </c>
      <c r="M9" s="1" t="s">
        <v>19</v>
      </c>
      <c r="N9" s="1" t="s">
        <v>23</v>
      </c>
    </row>
    <row r="10" spans="1:14" x14ac:dyDescent="0.3">
      <c r="A10" s="1" t="s">
        <v>21</v>
      </c>
      <c r="B10" s="1" t="s">
        <v>10</v>
      </c>
      <c r="C10" s="1" t="s">
        <v>16</v>
      </c>
      <c r="D10" s="1">
        <v>29</v>
      </c>
      <c r="E10" s="1">
        <v>100</v>
      </c>
      <c r="F10" s="1">
        <v>2900</v>
      </c>
      <c r="I10" s="1" t="s">
        <v>8</v>
      </c>
      <c r="J10" s="1">
        <f>COUNTIFS($C:$C,$I10,$B:$B,J$9)</f>
        <v>1</v>
      </c>
      <c r="K10" s="1">
        <f t="shared" ref="K10:N13" si="1">COUNTIFS($C:$C,$I10,$B:$B,K$9)</f>
        <v>5</v>
      </c>
      <c r="L10" s="1">
        <f t="shared" si="1"/>
        <v>2</v>
      </c>
      <c r="M10" s="1">
        <f t="shared" si="1"/>
        <v>4</v>
      </c>
      <c r="N10" s="1">
        <f t="shared" si="1"/>
        <v>2</v>
      </c>
    </row>
    <row r="11" spans="1:14" x14ac:dyDescent="0.3">
      <c r="A11" s="1" t="s">
        <v>22</v>
      </c>
      <c r="B11" s="1" t="s">
        <v>23</v>
      </c>
      <c r="C11" s="1" t="s">
        <v>8</v>
      </c>
      <c r="D11" s="1">
        <v>10</v>
      </c>
      <c r="E11" s="1">
        <v>300</v>
      </c>
      <c r="F11" s="1">
        <v>3000</v>
      </c>
      <c r="I11" s="1" t="s">
        <v>11</v>
      </c>
      <c r="J11" s="1">
        <f t="shared" ref="J11:J13" si="2">COUNTIFS($C:$C,$I11,$B:$B,J$9)</f>
        <v>6</v>
      </c>
      <c r="K11" s="1">
        <f t="shared" si="1"/>
        <v>4</v>
      </c>
      <c r="L11" s="1">
        <f t="shared" si="1"/>
        <v>2</v>
      </c>
      <c r="M11" s="1">
        <f t="shared" si="1"/>
        <v>3</v>
      </c>
      <c r="N11" s="1">
        <f t="shared" si="1"/>
        <v>3</v>
      </c>
    </row>
    <row r="12" spans="1:14" x14ac:dyDescent="0.3">
      <c r="A12" s="1" t="s">
        <v>24</v>
      </c>
      <c r="B12" s="1" t="s">
        <v>23</v>
      </c>
      <c r="C12" s="1" t="s">
        <v>8</v>
      </c>
      <c r="D12" s="1">
        <v>28</v>
      </c>
      <c r="E12" s="1">
        <v>300</v>
      </c>
      <c r="F12" s="1">
        <v>8400</v>
      </c>
      <c r="I12" s="1" t="s">
        <v>16</v>
      </c>
      <c r="J12" s="1">
        <f t="shared" si="2"/>
        <v>1</v>
      </c>
      <c r="K12" s="1">
        <f t="shared" si="1"/>
        <v>5</v>
      </c>
      <c r="L12" s="1">
        <f t="shared" si="1"/>
        <v>5</v>
      </c>
      <c r="M12" s="1">
        <f t="shared" si="1"/>
        <v>4</v>
      </c>
      <c r="N12" s="1">
        <f t="shared" si="1"/>
        <v>2</v>
      </c>
    </row>
    <row r="13" spans="1:14" x14ac:dyDescent="0.3">
      <c r="A13" s="1" t="s">
        <v>25</v>
      </c>
      <c r="B13" s="1" t="s">
        <v>10</v>
      </c>
      <c r="C13" s="1" t="s">
        <v>26</v>
      </c>
      <c r="D13" s="1">
        <v>2</v>
      </c>
      <c r="E13" s="1">
        <v>100</v>
      </c>
      <c r="F13" s="1">
        <v>200</v>
      </c>
      <c r="I13" s="1" t="s">
        <v>26</v>
      </c>
      <c r="J13" s="1">
        <f t="shared" si="2"/>
        <v>0</v>
      </c>
      <c r="K13" s="1">
        <f t="shared" si="1"/>
        <v>5</v>
      </c>
      <c r="L13" s="1">
        <f t="shared" si="1"/>
        <v>1</v>
      </c>
      <c r="M13" s="1">
        <f t="shared" si="1"/>
        <v>3</v>
      </c>
      <c r="N13" s="1">
        <f t="shared" si="1"/>
        <v>2</v>
      </c>
    </row>
    <row r="14" spans="1:14" x14ac:dyDescent="0.3">
      <c r="A14" s="1" t="s">
        <v>27</v>
      </c>
      <c r="B14" s="1" t="s">
        <v>10</v>
      </c>
      <c r="C14" s="1" t="s">
        <v>16</v>
      </c>
      <c r="D14" s="1">
        <v>17</v>
      </c>
      <c r="E14" s="1">
        <v>100</v>
      </c>
      <c r="F14" s="1">
        <v>1700</v>
      </c>
    </row>
    <row r="15" spans="1:14" x14ac:dyDescent="0.3">
      <c r="A15" s="1" t="s">
        <v>28</v>
      </c>
      <c r="B15" s="1" t="s">
        <v>23</v>
      </c>
      <c r="C15" s="1" t="s">
        <v>16</v>
      </c>
      <c r="D15" s="1">
        <v>1</v>
      </c>
      <c r="E15" s="1">
        <v>200</v>
      </c>
      <c r="F15" s="1">
        <v>200</v>
      </c>
    </row>
    <row r="16" spans="1:14" x14ac:dyDescent="0.3">
      <c r="A16" s="1" t="s">
        <v>29</v>
      </c>
      <c r="B16" s="1" t="s">
        <v>14</v>
      </c>
      <c r="C16" s="1" t="s">
        <v>8</v>
      </c>
      <c r="D16" s="1">
        <v>29</v>
      </c>
      <c r="E16" s="1">
        <v>100</v>
      </c>
      <c r="F16" s="1">
        <v>2900</v>
      </c>
    </row>
    <row r="17" spans="1:13" x14ac:dyDescent="0.3">
      <c r="A17" s="1" t="s">
        <v>30</v>
      </c>
      <c r="B17" s="1" t="s">
        <v>7</v>
      </c>
      <c r="C17" s="1" t="s">
        <v>11</v>
      </c>
      <c r="D17" s="1">
        <v>7</v>
      </c>
      <c r="E17" s="1">
        <v>150</v>
      </c>
      <c r="F17" s="1">
        <v>1050</v>
      </c>
    </row>
    <row r="18" spans="1:13" x14ac:dyDescent="0.3">
      <c r="A18" s="1" t="s">
        <v>31</v>
      </c>
      <c r="B18" s="1" t="s">
        <v>19</v>
      </c>
      <c r="C18" s="1" t="s">
        <v>8</v>
      </c>
      <c r="D18" s="1">
        <v>27</v>
      </c>
      <c r="E18" s="1">
        <v>100</v>
      </c>
      <c r="F18" s="1">
        <v>2700</v>
      </c>
      <c r="I18" s="2" t="s">
        <v>2</v>
      </c>
      <c r="J18" s="1"/>
    </row>
    <row r="19" spans="1:13" x14ac:dyDescent="0.3">
      <c r="A19" s="1" t="s">
        <v>32</v>
      </c>
      <c r="B19" s="1" t="s">
        <v>19</v>
      </c>
      <c r="C19" s="1" t="s">
        <v>8</v>
      </c>
      <c r="D19" s="1">
        <v>3</v>
      </c>
      <c r="E19" s="1">
        <v>350</v>
      </c>
      <c r="F19" s="1">
        <v>1050</v>
      </c>
      <c r="I19" s="1" t="s">
        <v>8</v>
      </c>
      <c r="J19" s="1">
        <f>SUMIF(C:C,I19,D:D)</f>
        <v>189</v>
      </c>
    </row>
    <row r="20" spans="1:13" x14ac:dyDescent="0.3">
      <c r="A20" s="1" t="s">
        <v>33</v>
      </c>
      <c r="B20" s="1" t="s">
        <v>7</v>
      </c>
      <c r="C20" s="1" t="s">
        <v>11</v>
      </c>
      <c r="D20" s="1">
        <v>17</v>
      </c>
      <c r="E20" s="1">
        <v>250</v>
      </c>
      <c r="F20" s="1">
        <v>4250</v>
      </c>
      <c r="I20" s="1" t="s">
        <v>11</v>
      </c>
      <c r="J20" s="1">
        <f t="shared" ref="J20:J22" si="3">SUMIF(C:C,I20,D:D)</f>
        <v>275</v>
      </c>
    </row>
    <row r="21" spans="1:13" x14ac:dyDescent="0.3">
      <c r="A21" s="1" t="s">
        <v>34</v>
      </c>
      <c r="B21" s="1" t="s">
        <v>10</v>
      </c>
      <c r="C21" s="1" t="s">
        <v>8</v>
      </c>
      <c r="D21" s="1">
        <v>16</v>
      </c>
      <c r="E21" s="1">
        <v>200</v>
      </c>
      <c r="F21" s="1">
        <v>3200</v>
      </c>
      <c r="I21" s="1" t="s">
        <v>16</v>
      </c>
      <c r="J21" s="1">
        <f t="shared" si="3"/>
        <v>276</v>
      </c>
    </row>
    <row r="22" spans="1:13" x14ac:dyDescent="0.3">
      <c r="A22" s="1" t="s">
        <v>35</v>
      </c>
      <c r="B22" s="1" t="s">
        <v>23</v>
      </c>
      <c r="C22" s="1" t="s">
        <v>16</v>
      </c>
      <c r="D22" s="1">
        <v>15</v>
      </c>
      <c r="E22" s="1">
        <v>350</v>
      </c>
      <c r="F22" s="1">
        <v>5250</v>
      </c>
      <c r="I22" s="1" t="s">
        <v>26</v>
      </c>
      <c r="J22" s="1">
        <f t="shared" si="3"/>
        <v>176</v>
      </c>
    </row>
    <row r="23" spans="1:13" x14ac:dyDescent="0.3">
      <c r="A23" s="1" t="s">
        <v>36</v>
      </c>
      <c r="B23" s="1" t="s">
        <v>10</v>
      </c>
      <c r="C23" s="1" t="s">
        <v>26</v>
      </c>
      <c r="D23" s="1">
        <v>29</v>
      </c>
      <c r="E23" s="1">
        <v>350</v>
      </c>
      <c r="F23" s="1">
        <v>10150</v>
      </c>
    </row>
    <row r="24" spans="1:13" x14ac:dyDescent="0.3">
      <c r="A24" s="1" t="s">
        <v>37</v>
      </c>
      <c r="B24" s="1" t="s">
        <v>23</v>
      </c>
      <c r="C24" s="1" t="s">
        <v>11</v>
      </c>
      <c r="D24" s="1">
        <v>27</v>
      </c>
      <c r="E24" s="1">
        <v>350</v>
      </c>
      <c r="F24" s="1">
        <v>9450</v>
      </c>
    </row>
    <row r="25" spans="1:13" x14ac:dyDescent="0.3">
      <c r="A25" s="1" t="s">
        <v>38</v>
      </c>
      <c r="B25" s="1" t="s">
        <v>19</v>
      </c>
      <c r="C25" s="1" t="s">
        <v>8</v>
      </c>
      <c r="D25" s="1">
        <v>25</v>
      </c>
      <c r="E25" s="1">
        <v>200</v>
      </c>
      <c r="F25" s="1">
        <v>5000</v>
      </c>
    </row>
    <row r="26" spans="1:13" x14ac:dyDescent="0.3">
      <c r="A26" s="1" t="s">
        <v>39</v>
      </c>
      <c r="B26" s="1" t="s">
        <v>14</v>
      </c>
      <c r="C26" s="1" t="s">
        <v>16</v>
      </c>
      <c r="D26" s="1">
        <v>5</v>
      </c>
      <c r="E26" s="1">
        <v>200</v>
      </c>
      <c r="F26" s="1">
        <v>1000</v>
      </c>
      <c r="I26" s="2" t="s">
        <v>1</v>
      </c>
      <c r="J26" s="1" t="s">
        <v>8</v>
      </c>
      <c r="K26" s="1" t="s">
        <v>11</v>
      </c>
      <c r="L26" s="1" t="s">
        <v>16</v>
      </c>
      <c r="M26" s="1" t="s">
        <v>26</v>
      </c>
    </row>
    <row r="27" spans="1:13" x14ac:dyDescent="0.3">
      <c r="A27" s="1" t="s">
        <v>40</v>
      </c>
      <c r="B27" s="1" t="s">
        <v>10</v>
      </c>
      <c r="C27" s="1" t="s">
        <v>8</v>
      </c>
      <c r="D27" s="1">
        <v>2</v>
      </c>
      <c r="E27" s="1">
        <v>150</v>
      </c>
      <c r="F27" s="1">
        <v>300</v>
      </c>
      <c r="I27" s="1" t="s">
        <v>7</v>
      </c>
      <c r="J27" s="1">
        <f>SUMIFS($D:$D,$B:$B,$I27,$C:$C,J$26)</f>
        <v>10</v>
      </c>
      <c r="K27" s="1">
        <f t="shared" ref="K27:M31" si="4">SUMIFS($D:$D,$B:$B,$I27,$C:$C,K$26)</f>
        <v>82</v>
      </c>
      <c r="L27" s="1">
        <f t="shared" si="4"/>
        <v>23</v>
      </c>
      <c r="M27" s="1">
        <f t="shared" si="4"/>
        <v>0</v>
      </c>
    </row>
    <row r="28" spans="1:13" x14ac:dyDescent="0.3">
      <c r="A28" s="1" t="s">
        <v>41</v>
      </c>
      <c r="B28" s="1" t="s">
        <v>10</v>
      </c>
      <c r="C28" s="1" t="s">
        <v>11</v>
      </c>
      <c r="D28" s="1">
        <v>1</v>
      </c>
      <c r="E28" s="1">
        <v>400</v>
      </c>
      <c r="F28" s="1">
        <v>400</v>
      </c>
      <c r="I28" s="1" t="s">
        <v>10</v>
      </c>
      <c r="J28" s="1">
        <f t="shared" ref="J28:J31" si="5">SUMIFS($D:$D,$B:$B,$I28,$C:$C,J$26)</f>
        <v>51</v>
      </c>
      <c r="K28" s="1">
        <f t="shared" si="4"/>
        <v>41</v>
      </c>
      <c r="L28" s="1">
        <f t="shared" si="4"/>
        <v>117</v>
      </c>
      <c r="M28" s="1">
        <f t="shared" si="4"/>
        <v>84</v>
      </c>
    </row>
    <row r="29" spans="1:13" x14ac:dyDescent="0.3">
      <c r="A29" s="1" t="s">
        <v>42</v>
      </c>
      <c r="B29" s="1" t="s">
        <v>10</v>
      </c>
      <c r="C29" s="1" t="s">
        <v>16</v>
      </c>
      <c r="D29" s="1">
        <v>28</v>
      </c>
      <c r="E29" s="1">
        <v>150</v>
      </c>
      <c r="F29" s="1">
        <v>4200</v>
      </c>
      <c r="I29" s="1" t="s">
        <v>14</v>
      </c>
      <c r="J29" s="1">
        <f t="shared" si="5"/>
        <v>32</v>
      </c>
      <c r="K29" s="1">
        <f t="shared" si="4"/>
        <v>45</v>
      </c>
      <c r="L29" s="1">
        <f t="shared" si="4"/>
        <v>41</v>
      </c>
      <c r="M29" s="1">
        <f t="shared" si="4"/>
        <v>10</v>
      </c>
    </row>
    <row r="30" spans="1:13" x14ac:dyDescent="0.3">
      <c r="A30" s="1" t="s">
        <v>43</v>
      </c>
      <c r="B30" s="1" t="s">
        <v>19</v>
      </c>
      <c r="C30" s="1" t="s">
        <v>26</v>
      </c>
      <c r="D30" s="1">
        <v>19</v>
      </c>
      <c r="E30" s="1">
        <v>150</v>
      </c>
      <c r="F30" s="1">
        <v>2850</v>
      </c>
      <c r="I30" s="1" t="s">
        <v>19</v>
      </c>
      <c r="J30" s="1">
        <f t="shared" si="5"/>
        <v>58</v>
      </c>
      <c r="K30" s="1">
        <f t="shared" si="4"/>
        <v>49</v>
      </c>
      <c r="L30" s="1">
        <f t="shared" si="4"/>
        <v>79</v>
      </c>
      <c r="M30" s="1">
        <f t="shared" si="4"/>
        <v>41</v>
      </c>
    </row>
    <row r="31" spans="1:13" x14ac:dyDescent="0.3">
      <c r="A31" s="1" t="s">
        <v>44</v>
      </c>
      <c r="B31" s="1" t="s">
        <v>10</v>
      </c>
      <c r="C31" s="1" t="s">
        <v>11</v>
      </c>
      <c r="D31" s="1">
        <v>14</v>
      </c>
      <c r="E31" s="1">
        <v>200</v>
      </c>
      <c r="F31" s="1">
        <v>2800</v>
      </c>
      <c r="I31" s="1" t="s">
        <v>23</v>
      </c>
      <c r="J31" s="1">
        <f t="shared" si="5"/>
        <v>38</v>
      </c>
      <c r="K31" s="1">
        <f t="shared" si="4"/>
        <v>58</v>
      </c>
      <c r="L31" s="1">
        <f t="shared" si="4"/>
        <v>16</v>
      </c>
      <c r="M31" s="1">
        <f t="shared" si="4"/>
        <v>41</v>
      </c>
    </row>
    <row r="32" spans="1:13" x14ac:dyDescent="0.3">
      <c r="A32" s="1" t="s">
        <v>45</v>
      </c>
      <c r="B32" s="1" t="s">
        <v>14</v>
      </c>
      <c r="C32" s="1" t="s">
        <v>16</v>
      </c>
      <c r="D32" s="1">
        <v>8</v>
      </c>
      <c r="E32" s="1">
        <v>200</v>
      </c>
      <c r="F32" s="1">
        <v>1600</v>
      </c>
    </row>
    <row r="33" spans="1:6" x14ac:dyDescent="0.3">
      <c r="A33" s="1" t="s">
        <v>46</v>
      </c>
      <c r="B33" s="1" t="s">
        <v>23</v>
      </c>
      <c r="C33" s="1" t="s">
        <v>26</v>
      </c>
      <c r="D33" s="1">
        <v>18</v>
      </c>
      <c r="E33" s="1">
        <v>400</v>
      </c>
      <c r="F33" s="1">
        <v>7200</v>
      </c>
    </row>
    <row r="34" spans="1:6" x14ac:dyDescent="0.3">
      <c r="A34" s="1" t="s">
        <v>47</v>
      </c>
      <c r="B34" s="1" t="s">
        <v>19</v>
      </c>
      <c r="C34" s="1" t="s">
        <v>11</v>
      </c>
      <c r="D34" s="1">
        <v>23</v>
      </c>
      <c r="E34" s="1">
        <v>200</v>
      </c>
      <c r="F34" s="1">
        <v>4600</v>
      </c>
    </row>
    <row r="35" spans="1:6" x14ac:dyDescent="0.3">
      <c r="A35" s="1" t="s">
        <v>48</v>
      </c>
      <c r="B35" s="1" t="s">
        <v>19</v>
      </c>
      <c r="C35" s="1" t="s">
        <v>16</v>
      </c>
      <c r="D35" s="1">
        <v>28</v>
      </c>
      <c r="E35" s="1">
        <v>400</v>
      </c>
      <c r="F35" s="1">
        <v>11200</v>
      </c>
    </row>
    <row r="36" spans="1:6" x14ac:dyDescent="0.3">
      <c r="A36" s="1" t="s">
        <v>49</v>
      </c>
      <c r="B36" s="1" t="s">
        <v>19</v>
      </c>
      <c r="C36" s="1" t="s">
        <v>8</v>
      </c>
      <c r="D36" s="1">
        <v>3</v>
      </c>
      <c r="E36" s="1">
        <v>400</v>
      </c>
      <c r="F36" s="1">
        <v>1200</v>
      </c>
    </row>
    <row r="37" spans="1:6" x14ac:dyDescent="0.3">
      <c r="A37" s="1" t="s">
        <v>50</v>
      </c>
      <c r="B37" s="1" t="s">
        <v>14</v>
      </c>
      <c r="C37" s="1" t="s">
        <v>16</v>
      </c>
      <c r="D37" s="1">
        <v>1</v>
      </c>
      <c r="E37" s="1">
        <v>350</v>
      </c>
      <c r="F37" s="1">
        <v>350</v>
      </c>
    </row>
    <row r="38" spans="1:6" x14ac:dyDescent="0.3">
      <c r="A38" s="1" t="s">
        <v>51</v>
      </c>
      <c r="B38" s="1" t="s">
        <v>10</v>
      </c>
      <c r="C38" s="1" t="s">
        <v>8</v>
      </c>
      <c r="D38" s="1">
        <v>20</v>
      </c>
      <c r="E38" s="1">
        <v>350</v>
      </c>
      <c r="F38" s="1">
        <v>7000</v>
      </c>
    </row>
    <row r="39" spans="1:6" x14ac:dyDescent="0.3">
      <c r="A39" s="1" t="s">
        <v>52</v>
      </c>
      <c r="B39" s="1" t="s">
        <v>10</v>
      </c>
      <c r="C39" s="1" t="s">
        <v>26</v>
      </c>
      <c r="D39" s="1">
        <v>13</v>
      </c>
      <c r="E39" s="1">
        <v>200</v>
      </c>
      <c r="F39" s="1">
        <v>2600</v>
      </c>
    </row>
    <row r="40" spans="1:6" x14ac:dyDescent="0.3">
      <c r="A40" s="1" t="s">
        <v>53</v>
      </c>
      <c r="B40" s="1" t="s">
        <v>19</v>
      </c>
      <c r="C40" s="1" t="s">
        <v>26</v>
      </c>
      <c r="D40" s="1">
        <v>17</v>
      </c>
      <c r="E40" s="1">
        <v>350</v>
      </c>
      <c r="F40" s="1">
        <v>5950</v>
      </c>
    </row>
    <row r="41" spans="1:6" x14ac:dyDescent="0.3">
      <c r="A41" s="1" t="s">
        <v>54</v>
      </c>
      <c r="B41" s="1" t="s">
        <v>10</v>
      </c>
      <c r="C41" s="1" t="s">
        <v>11</v>
      </c>
      <c r="D41" s="1">
        <v>23</v>
      </c>
      <c r="E41" s="1">
        <v>350</v>
      </c>
      <c r="F41" s="1">
        <v>8050</v>
      </c>
    </row>
    <row r="42" spans="1:6" x14ac:dyDescent="0.3">
      <c r="A42" s="1" t="s">
        <v>55</v>
      </c>
      <c r="B42" s="1" t="s">
        <v>23</v>
      </c>
      <c r="C42" s="1" t="s">
        <v>11</v>
      </c>
      <c r="D42" s="1">
        <v>26</v>
      </c>
      <c r="E42" s="1">
        <v>250</v>
      </c>
      <c r="F42" s="1">
        <v>6500</v>
      </c>
    </row>
    <row r="43" spans="1:6" x14ac:dyDescent="0.3">
      <c r="A43" s="1" t="s">
        <v>56</v>
      </c>
      <c r="B43" s="1" t="s">
        <v>14</v>
      </c>
      <c r="C43" s="1" t="s">
        <v>8</v>
      </c>
      <c r="D43" s="1">
        <v>3</v>
      </c>
      <c r="E43" s="1">
        <v>300</v>
      </c>
      <c r="F43" s="1">
        <v>900</v>
      </c>
    </row>
    <row r="44" spans="1:6" x14ac:dyDescent="0.3">
      <c r="A44" s="1" t="s">
        <v>57</v>
      </c>
      <c r="B44" s="1" t="s">
        <v>10</v>
      </c>
      <c r="C44" s="1" t="s">
        <v>26</v>
      </c>
      <c r="D44" s="1">
        <v>17</v>
      </c>
      <c r="E44" s="1">
        <v>150</v>
      </c>
      <c r="F44" s="1">
        <v>2550</v>
      </c>
    </row>
    <row r="45" spans="1:6" x14ac:dyDescent="0.3">
      <c r="A45" s="1" t="s">
        <v>58</v>
      </c>
      <c r="B45" s="1" t="s">
        <v>7</v>
      </c>
      <c r="C45" s="1" t="s">
        <v>11</v>
      </c>
      <c r="D45" s="1">
        <v>24</v>
      </c>
      <c r="E45" s="1">
        <v>200</v>
      </c>
      <c r="F45" s="1">
        <v>4800</v>
      </c>
    </row>
    <row r="46" spans="1:6" x14ac:dyDescent="0.3">
      <c r="A46" s="1" t="s">
        <v>59</v>
      </c>
      <c r="B46" s="1" t="s">
        <v>23</v>
      </c>
      <c r="C46" s="1" t="s">
        <v>11</v>
      </c>
      <c r="D46" s="1">
        <v>5</v>
      </c>
      <c r="E46" s="1">
        <v>250</v>
      </c>
      <c r="F46" s="1">
        <v>1250</v>
      </c>
    </row>
    <row r="47" spans="1:6" x14ac:dyDescent="0.3">
      <c r="A47" s="1" t="s">
        <v>60</v>
      </c>
      <c r="B47" s="1" t="s">
        <v>14</v>
      </c>
      <c r="C47" s="1" t="s">
        <v>16</v>
      </c>
      <c r="D47" s="1">
        <v>5</v>
      </c>
      <c r="E47" s="1">
        <v>100</v>
      </c>
      <c r="F47" s="1">
        <v>500</v>
      </c>
    </row>
    <row r="48" spans="1:6" x14ac:dyDescent="0.3">
      <c r="A48" s="1" t="s">
        <v>61</v>
      </c>
      <c r="B48" s="1" t="s">
        <v>19</v>
      </c>
      <c r="C48" s="1" t="s">
        <v>16</v>
      </c>
      <c r="D48" s="1">
        <v>23</v>
      </c>
      <c r="E48" s="1">
        <v>150</v>
      </c>
      <c r="F48" s="1">
        <v>3450</v>
      </c>
    </row>
    <row r="49" spans="1:6" x14ac:dyDescent="0.3">
      <c r="A49" s="1" t="s">
        <v>62</v>
      </c>
      <c r="B49" s="1" t="s">
        <v>14</v>
      </c>
      <c r="C49" s="1" t="s">
        <v>16</v>
      </c>
      <c r="D49" s="1">
        <v>22</v>
      </c>
      <c r="E49" s="1">
        <v>150</v>
      </c>
      <c r="F49" s="1">
        <v>3300</v>
      </c>
    </row>
    <row r="50" spans="1:6" x14ac:dyDescent="0.3">
      <c r="A50" s="1" t="s">
        <v>63</v>
      </c>
      <c r="B50" s="1" t="s">
        <v>10</v>
      </c>
      <c r="C50" s="1" t="s">
        <v>16</v>
      </c>
      <c r="D50" s="1">
        <v>20</v>
      </c>
      <c r="E50" s="1">
        <v>100</v>
      </c>
      <c r="F50" s="1">
        <v>2000</v>
      </c>
    </row>
    <row r="51" spans="1:6" x14ac:dyDescent="0.3">
      <c r="A51" s="1" t="s">
        <v>64</v>
      </c>
      <c r="B51" s="1" t="s">
        <v>14</v>
      </c>
      <c r="C51" s="1" t="s">
        <v>26</v>
      </c>
      <c r="D51" s="1">
        <v>10</v>
      </c>
      <c r="E51" s="1">
        <v>100</v>
      </c>
      <c r="F51" s="1">
        <v>1000</v>
      </c>
    </row>
    <row r="52" spans="1:6" x14ac:dyDescent="0.3">
      <c r="A52" s="1" t="s">
        <v>65</v>
      </c>
      <c r="B52" s="1" t="s">
        <v>19</v>
      </c>
      <c r="C52" s="1" t="s">
        <v>11</v>
      </c>
      <c r="D52" s="1">
        <v>11</v>
      </c>
      <c r="E52" s="1">
        <v>300</v>
      </c>
      <c r="F52" s="1">
        <v>3300</v>
      </c>
    </row>
    <row r="53" spans="1:6" x14ac:dyDescent="0.3">
      <c r="A53" s="1" t="s">
        <v>66</v>
      </c>
      <c r="B53" s="1" t="s">
        <v>10</v>
      </c>
      <c r="C53" s="1" t="s">
        <v>16</v>
      </c>
      <c r="D53" s="1">
        <v>23</v>
      </c>
      <c r="E53" s="1">
        <v>200</v>
      </c>
      <c r="F53" s="1">
        <v>4600</v>
      </c>
    </row>
    <row r="54" spans="1:6" x14ac:dyDescent="0.3">
      <c r="A54" s="1" t="s">
        <v>67</v>
      </c>
      <c r="B54" s="1" t="s">
        <v>10</v>
      </c>
      <c r="C54" s="1" t="s">
        <v>26</v>
      </c>
      <c r="D54" s="1">
        <v>23</v>
      </c>
      <c r="E54" s="1">
        <v>150</v>
      </c>
      <c r="F54" s="1">
        <v>3450</v>
      </c>
    </row>
    <row r="55" spans="1:6" x14ac:dyDescent="0.3">
      <c r="A55" s="1" t="s">
        <v>68</v>
      </c>
      <c r="B55" s="1" t="s">
        <v>19</v>
      </c>
      <c r="C55" s="1" t="s">
        <v>16</v>
      </c>
      <c r="D55" s="1">
        <v>4</v>
      </c>
      <c r="E55" s="1">
        <v>250</v>
      </c>
      <c r="F55" s="1">
        <v>1000</v>
      </c>
    </row>
    <row r="56" spans="1:6" x14ac:dyDescent="0.3">
      <c r="A56" s="1" t="s">
        <v>69</v>
      </c>
      <c r="B56" s="1" t="s">
        <v>7</v>
      </c>
      <c r="C56" s="1" t="s">
        <v>11</v>
      </c>
      <c r="D56" s="1">
        <v>22</v>
      </c>
      <c r="E56" s="1">
        <v>400</v>
      </c>
      <c r="F56" s="1">
        <v>8800</v>
      </c>
    </row>
    <row r="57" spans="1:6" x14ac:dyDescent="0.3">
      <c r="A57" s="1" t="s">
        <v>70</v>
      </c>
      <c r="B57" s="1" t="s">
        <v>7</v>
      </c>
      <c r="C57" s="1" t="s">
        <v>11</v>
      </c>
      <c r="D57" s="1">
        <v>8</v>
      </c>
      <c r="E57" s="1">
        <v>100</v>
      </c>
      <c r="F57" s="1">
        <v>800</v>
      </c>
    </row>
    <row r="58" spans="1:6" x14ac:dyDescent="0.3">
      <c r="A58" s="1" t="s">
        <v>71</v>
      </c>
      <c r="B58" s="1" t="s">
        <v>19</v>
      </c>
      <c r="C58" s="1" t="s">
        <v>26</v>
      </c>
      <c r="D58" s="1">
        <v>5</v>
      </c>
      <c r="E58" s="1">
        <v>150</v>
      </c>
      <c r="F58" s="1">
        <v>750</v>
      </c>
    </row>
    <row r="59" spans="1:6" x14ac:dyDescent="0.3">
      <c r="A59" s="1" t="s">
        <v>72</v>
      </c>
      <c r="B59" s="1" t="s">
        <v>19</v>
      </c>
      <c r="C59" s="1" t="s">
        <v>16</v>
      </c>
      <c r="D59" s="1">
        <v>24</v>
      </c>
      <c r="E59" s="1">
        <v>300</v>
      </c>
      <c r="F59" s="1">
        <v>7200</v>
      </c>
    </row>
    <row r="60" spans="1:6" x14ac:dyDescent="0.3">
      <c r="A60" s="1" t="s">
        <v>73</v>
      </c>
      <c r="B60" s="1" t="s">
        <v>23</v>
      </c>
      <c r="C60" s="1" t="s">
        <v>26</v>
      </c>
      <c r="D60" s="1">
        <v>23</v>
      </c>
      <c r="E60" s="1">
        <v>250</v>
      </c>
      <c r="F60" s="1">
        <v>5750</v>
      </c>
    </row>
    <row r="61" spans="1:6" x14ac:dyDescent="0.3">
      <c r="A61" s="1" t="s">
        <v>74</v>
      </c>
      <c r="B61" s="1" t="s">
        <v>7</v>
      </c>
      <c r="C61" s="1" t="s">
        <v>11</v>
      </c>
      <c r="D61" s="1">
        <v>4</v>
      </c>
      <c r="E61" s="1">
        <v>350</v>
      </c>
      <c r="F61" s="1">
        <v>1400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2CB7E-8AA3-4E55-A79C-486F685884EA}">
  <dimension ref="A1:D6"/>
  <sheetViews>
    <sheetView workbookViewId="0"/>
  </sheetViews>
  <sheetFormatPr defaultRowHeight="14.4" x14ac:dyDescent="0.3"/>
  <cols>
    <col min="1" max="1" width="15.21875" bestFit="1" customWidth="1"/>
    <col min="2" max="2" width="15.5546875" bestFit="1" customWidth="1"/>
    <col min="3" max="3" width="6" bestFit="1" customWidth="1"/>
    <col min="4" max="4" width="10.77734375" bestFit="1" customWidth="1"/>
  </cols>
  <sheetData>
    <row r="1" spans="1:4" x14ac:dyDescent="0.3">
      <c r="A1" s="8" t="s">
        <v>80</v>
      </c>
      <c r="B1" t="s">
        <v>104</v>
      </c>
    </row>
    <row r="3" spans="1:4" x14ac:dyDescent="0.3">
      <c r="A3" s="8" t="s">
        <v>145</v>
      </c>
      <c r="B3" s="8" t="s">
        <v>143</v>
      </c>
    </row>
    <row r="4" spans="1:4" x14ac:dyDescent="0.3">
      <c r="A4" s="8" t="s">
        <v>141</v>
      </c>
      <c r="B4" t="s">
        <v>16</v>
      </c>
      <c r="C4" t="s">
        <v>26</v>
      </c>
      <c r="D4" t="s">
        <v>142</v>
      </c>
    </row>
    <row r="5" spans="1:4" x14ac:dyDescent="0.3">
      <c r="A5" s="9" t="s">
        <v>87</v>
      </c>
      <c r="B5" s="11">
        <v>1</v>
      </c>
      <c r="C5" s="11">
        <v>3</v>
      </c>
      <c r="D5" s="11">
        <v>4</v>
      </c>
    </row>
    <row r="6" spans="1:4" x14ac:dyDescent="0.3">
      <c r="A6" s="9" t="s">
        <v>142</v>
      </c>
      <c r="B6" s="11">
        <v>1</v>
      </c>
      <c r="C6" s="11">
        <v>3</v>
      </c>
      <c r="D6" s="11">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6169B-0947-4486-A555-F3587B570896}">
  <dimension ref="A1:D6"/>
  <sheetViews>
    <sheetView topLeftCell="A4" workbookViewId="0">
      <selection activeCell="R9" sqref="R9"/>
    </sheetView>
  </sheetViews>
  <sheetFormatPr defaultRowHeight="14.4" x14ac:dyDescent="0.3"/>
  <cols>
    <col min="1" max="1" width="15.21875" bestFit="1" customWidth="1"/>
    <col min="2" max="2" width="15.5546875" bestFit="1" customWidth="1"/>
    <col min="3" max="3" width="5.88671875" bestFit="1" customWidth="1"/>
    <col min="4" max="4" width="10.77734375" bestFit="1" customWidth="1"/>
  </cols>
  <sheetData>
    <row r="1" spans="1:4" x14ac:dyDescent="0.3">
      <c r="A1" s="8" t="s">
        <v>80</v>
      </c>
      <c r="B1" t="s">
        <v>97</v>
      </c>
    </row>
    <row r="3" spans="1:4" x14ac:dyDescent="0.3">
      <c r="A3" s="8" t="s">
        <v>145</v>
      </c>
      <c r="B3" s="8" t="s">
        <v>143</v>
      </c>
    </row>
    <row r="4" spans="1:4" x14ac:dyDescent="0.3">
      <c r="A4" s="8" t="s">
        <v>141</v>
      </c>
      <c r="B4" t="s">
        <v>92</v>
      </c>
      <c r="C4" t="s">
        <v>16</v>
      </c>
      <c r="D4" t="s">
        <v>142</v>
      </c>
    </row>
    <row r="5" spans="1:4" x14ac:dyDescent="0.3">
      <c r="A5" s="9" t="s">
        <v>87</v>
      </c>
      <c r="B5" s="11">
        <v>2</v>
      </c>
      <c r="C5" s="11">
        <v>2</v>
      </c>
      <c r="D5" s="11">
        <v>4</v>
      </c>
    </row>
    <row r="6" spans="1:4" x14ac:dyDescent="0.3">
      <c r="A6" s="9" t="s">
        <v>142</v>
      </c>
      <c r="B6" s="11">
        <v>2</v>
      </c>
      <c r="C6" s="11">
        <v>2</v>
      </c>
      <c r="D6" s="11">
        <v>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87E7E-9E66-4177-885F-BDC3C21B467D}">
  <dimension ref="A1:E6"/>
  <sheetViews>
    <sheetView workbookViewId="0"/>
  </sheetViews>
  <sheetFormatPr defaultRowHeight="14.4" x14ac:dyDescent="0.3"/>
  <cols>
    <col min="1" max="1" width="15.21875" bestFit="1" customWidth="1"/>
    <col min="2" max="2" width="15.5546875" bestFit="1" customWidth="1"/>
    <col min="3" max="3" width="5.88671875" bestFit="1" customWidth="1"/>
    <col min="4" max="4" width="6" bestFit="1" customWidth="1"/>
    <col min="5" max="5" width="10.77734375" bestFit="1" customWidth="1"/>
  </cols>
  <sheetData>
    <row r="1" spans="1:5" x14ac:dyDescent="0.3">
      <c r="A1" s="8" t="s">
        <v>80</v>
      </c>
      <c r="B1" t="s">
        <v>88</v>
      </c>
    </row>
    <row r="3" spans="1:5" x14ac:dyDescent="0.3">
      <c r="A3" s="8" t="s">
        <v>145</v>
      </c>
      <c r="B3" s="8" t="s">
        <v>143</v>
      </c>
    </row>
    <row r="4" spans="1:5" x14ac:dyDescent="0.3">
      <c r="A4" s="8" t="s">
        <v>141</v>
      </c>
      <c r="B4" t="s">
        <v>92</v>
      </c>
      <c r="C4" t="s">
        <v>16</v>
      </c>
      <c r="D4" t="s">
        <v>26</v>
      </c>
      <c r="E4" t="s">
        <v>142</v>
      </c>
    </row>
    <row r="5" spans="1:5" x14ac:dyDescent="0.3">
      <c r="A5" s="9" t="s">
        <v>87</v>
      </c>
      <c r="B5" s="11">
        <v>2</v>
      </c>
      <c r="C5" s="11">
        <v>1</v>
      </c>
      <c r="D5" s="11">
        <v>2</v>
      </c>
      <c r="E5" s="11">
        <v>5</v>
      </c>
    </row>
    <row r="6" spans="1:5" x14ac:dyDescent="0.3">
      <c r="A6" s="9" t="s">
        <v>142</v>
      </c>
      <c r="B6" s="11">
        <v>2</v>
      </c>
      <c r="C6" s="11">
        <v>1</v>
      </c>
      <c r="D6" s="11">
        <v>2</v>
      </c>
      <c r="E6" s="11">
        <v>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61AAC-62B5-4DEC-8A9C-7F964C33D3D1}">
  <dimension ref="A3:B4"/>
  <sheetViews>
    <sheetView workbookViewId="0">
      <selection activeCell="B3" sqref="B3"/>
      <pivotSelection pane="bottomRight" showHeader="1" extendable="1" activeRow="2" activeCol="1" previousRow="2" previousCol="1" click="1" r:id="rId1">
        <pivotArea dataOnly="0" outline="0" axis="axisValues" fieldPosition="0"/>
      </pivotSelection>
    </sheetView>
  </sheetViews>
  <sheetFormatPr defaultRowHeight="14.4" x14ac:dyDescent="0.3"/>
  <cols>
    <col min="1" max="1" width="12.5546875" bestFit="1" customWidth="1"/>
    <col min="2" max="2" width="14.88671875" bestFit="1" customWidth="1"/>
  </cols>
  <sheetData>
    <row r="3" spans="1:2" x14ac:dyDescent="0.3">
      <c r="A3" s="8" t="s">
        <v>141</v>
      </c>
      <c r="B3" t="s">
        <v>144</v>
      </c>
    </row>
    <row r="4" spans="1:2" x14ac:dyDescent="0.3">
      <c r="A4" s="12" t="s">
        <v>142</v>
      </c>
      <c r="B4" s="11"/>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8C13B-D007-407B-814F-824B727206A1}">
  <dimension ref="A1:J9"/>
  <sheetViews>
    <sheetView workbookViewId="0">
      <selection activeCell="H6" sqref="A3:J9"/>
    </sheetView>
  </sheetViews>
  <sheetFormatPr defaultRowHeight="14.4" x14ac:dyDescent="0.3"/>
  <cols>
    <col min="1" max="1" width="11.77734375" bestFit="1" customWidth="1"/>
    <col min="2" max="2" width="16.88671875" bestFit="1" customWidth="1"/>
    <col min="3" max="5" width="9" bestFit="1" customWidth="1"/>
    <col min="6" max="6" width="18" bestFit="1" customWidth="1"/>
    <col min="7" max="7" width="16.109375" bestFit="1" customWidth="1"/>
    <col min="8" max="8" width="10.5546875" bestFit="1" customWidth="1"/>
    <col min="9" max="9" width="14.5546875" bestFit="1" customWidth="1"/>
    <col min="10" max="10" width="14.77734375" bestFit="1" customWidth="1"/>
  </cols>
  <sheetData>
    <row r="1" spans="1:10" x14ac:dyDescent="0.3">
      <c r="A1" s="4" t="s">
        <v>149</v>
      </c>
    </row>
    <row r="3" spans="1:10" x14ac:dyDescent="0.3">
      <c r="A3" t="s">
        <v>76</v>
      </c>
      <c r="B3" t="s">
        <v>77</v>
      </c>
      <c r="C3" t="s">
        <v>78</v>
      </c>
      <c r="D3" t="s">
        <v>79</v>
      </c>
      <c r="E3" t="s">
        <v>2</v>
      </c>
      <c r="F3" t="s">
        <v>80</v>
      </c>
      <c r="G3" t="s">
        <v>81</v>
      </c>
      <c r="H3" t="s">
        <v>82</v>
      </c>
      <c r="I3" t="s">
        <v>83</v>
      </c>
      <c r="J3" t="s">
        <v>84</v>
      </c>
    </row>
    <row r="4" spans="1:10" x14ac:dyDescent="0.3">
      <c r="A4" s="3">
        <v>45660</v>
      </c>
      <c r="B4" t="s">
        <v>85</v>
      </c>
      <c r="C4" t="s">
        <v>86</v>
      </c>
      <c r="D4" t="s">
        <v>87</v>
      </c>
      <c r="E4" t="s">
        <v>26</v>
      </c>
      <c r="F4" t="s">
        <v>88</v>
      </c>
      <c r="G4" t="s">
        <v>89</v>
      </c>
      <c r="H4">
        <v>2</v>
      </c>
      <c r="I4">
        <v>15</v>
      </c>
      <c r="J4">
        <v>30</v>
      </c>
    </row>
    <row r="5" spans="1:10" x14ac:dyDescent="0.3">
      <c r="A5" s="3">
        <v>45685</v>
      </c>
      <c r="B5" t="s">
        <v>137</v>
      </c>
      <c r="C5" t="s">
        <v>86</v>
      </c>
      <c r="D5" t="s">
        <v>87</v>
      </c>
      <c r="E5" t="s">
        <v>26</v>
      </c>
      <c r="F5" t="s">
        <v>104</v>
      </c>
      <c r="G5" t="s">
        <v>138</v>
      </c>
      <c r="H5">
        <v>2</v>
      </c>
      <c r="I5">
        <v>9</v>
      </c>
      <c r="J5">
        <v>18</v>
      </c>
    </row>
    <row r="6" spans="1:10" x14ac:dyDescent="0.3">
      <c r="A6" s="3">
        <v>45678</v>
      </c>
      <c r="B6" t="s">
        <v>127</v>
      </c>
      <c r="C6" t="s">
        <v>103</v>
      </c>
      <c r="D6" t="s">
        <v>87</v>
      </c>
      <c r="E6" t="s">
        <v>26</v>
      </c>
      <c r="F6" t="s">
        <v>104</v>
      </c>
      <c r="G6" t="s">
        <v>128</v>
      </c>
      <c r="H6">
        <v>3</v>
      </c>
      <c r="I6">
        <v>7</v>
      </c>
      <c r="J6">
        <v>21</v>
      </c>
    </row>
    <row r="7" spans="1:10" x14ac:dyDescent="0.3">
      <c r="A7" s="3">
        <v>45677</v>
      </c>
      <c r="B7" t="s">
        <v>125</v>
      </c>
      <c r="C7" t="s">
        <v>86</v>
      </c>
      <c r="D7" t="s">
        <v>87</v>
      </c>
      <c r="E7" t="s">
        <v>26</v>
      </c>
      <c r="F7" t="s">
        <v>88</v>
      </c>
      <c r="G7" t="s">
        <v>126</v>
      </c>
      <c r="H7">
        <v>1</v>
      </c>
      <c r="I7">
        <v>55</v>
      </c>
      <c r="J7">
        <v>55</v>
      </c>
    </row>
    <row r="8" spans="1:10" x14ac:dyDescent="0.3">
      <c r="A8" s="3">
        <v>45665</v>
      </c>
      <c r="B8" t="s">
        <v>102</v>
      </c>
      <c r="C8" t="s">
        <v>103</v>
      </c>
      <c r="D8" t="s">
        <v>87</v>
      </c>
      <c r="E8" t="s">
        <v>26</v>
      </c>
      <c r="F8" t="s">
        <v>104</v>
      </c>
      <c r="G8" t="s">
        <v>105</v>
      </c>
      <c r="H8">
        <v>2</v>
      </c>
      <c r="I8">
        <v>12</v>
      </c>
      <c r="J8">
        <v>24</v>
      </c>
    </row>
    <row r="9" spans="1:10" x14ac:dyDescent="0.3">
      <c r="A9" s="3">
        <v>45671</v>
      </c>
      <c r="B9" t="s">
        <v>116</v>
      </c>
      <c r="C9" t="s">
        <v>86</v>
      </c>
      <c r="D9" t="s">
        <v>87</v>
      </c>
      <c r="E9" t="s">
        <v>26</v>
      </c>
      <c r="F9" t="s">
        <v>93</v>
      </c>
      <c r="G9" t="s">
        <v>117</v>
      </c>
      <c r="H9">
        <v>1</v>
      </c>
      <c r="I9">
        <v>45</v>
      </c>
      <c r="J9">
        <v>45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FE26D-16B1-4B56-B068-7364A6DAD509}">
  <dimension ref="A2:C7"/>
  <sheetViews>
    <sheetView workbookViewId="0">
      <selection activeCell="C7" sqref="C7"/>
    </sheetView>
  </sheetViews>
  <sheetFormatPr defaultRowHeight="14.4" x14ac:dyDescent="0.3"/>
  <cols>
    <col min="1" max="1" width="15.21875" bestFit="1" customWidth="1"/>
    <col min="2" max="2" width="13.21875" bestFit="1" customWidth="1"/>
    <col min="3" max="3" width="14.88671875" bestFit="1" customWidth="1"/>
    <col min="4" max="4" width="13.21875" bestFit="1" customWidth="1"/>
    <col min="5" max="5" width="14.88671875" bestFit="1" customWidth="1"/>
    <col min="6" max="6" width="18" bestFit="1" customWidth="1"/>
    <col min="7" max="7" width="19.6640625" bestFit="1" customWidth="1"/>
  </cols>
  <sheetData>
    <row r="2" spans="1:3" x14ac:dyDescent="0.3">
      <c r="A2" s="8" t="s">
        <v>80</v>
      </c>
      <c r="B2" t="s">
        <v>146</v>
      </c>
    </row>
    <row r="4" spans="1:3" x14ac:dyDescent="0.3">
      <c r="A4" s="8" t="s">
        <v>141</v>
      </c>
      <c r="B4" t="s">
        <v>145</v>
      </c>
      <c r="C4" t="s">
        <v>144</v>
      </c>
    </row>
    <row r="5" spans="1:3" x14ac:dyDescent="0.3">
      <c r="A5" s="9" t="s">
        <v>87</v>
      </c>
      <c r="B5" s="11">
        <v>6</v>
      </c>
      <c r="C5" s="11">
        <v>11</v>
      </c>
    </row>
    <row r="6" spans="1:3" x14ac:dyDescent="0.3">
      <c r="A6" s="10" t="s">
        <v>26</v>
      </c>
      <c r="B6" s="11">
        <v>6</v>
      </c>
      <c r="C6" s="11">
        <v>11</v>
      </c>
    </row>
    <row r="7" spans="1:3" x14ac:dyDescent="0.3">
      <c r="A7" s="9" t="s">
        <v>142</v>
      </c>
      <c r="B7" s="11">
        <v>6</v>
      </c>
      <c r="C7" s="11">
        <v>11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4E68C-C298-4642-A2F5-A7D27536B2FF}">
  <dimension ref="A1:E7"/>
  <sheetViews>
    <sheetView workbookViewId="0">
      <selection activeCell="J14" sqref="J14"/>
    </sheetView>
  </sheetViews>
  <sheetFormatPr defaultRowHeight="14.4" x14ac:dyDescent="0.3"/>
  <cols>
    <col min="1" max="1" width="15.21875" bestFit="1" customWidth="1"/>
    <col min="2" max="2" width="15.5546875" bestFit="1" customWidth="1"/>
    <col min="3" max="3" width="14.88671875" bestFit="1" customWidth="1"/>
    <col min="4" max="4" width="18" bestFit="1" customWidth="1"/>
    <col min="5" max="5" width="19.6640625" bestFit="1" customWidth="1"/>
    <col min="6" max="6" width="18" bestFit="1" customWidth="1"/>
    <col min="7" max="7" width="19.6640625" bestFit="1" customWidth="1"/>
  </cols>
  <sheetData>
    <row r="1" spans="1:5" x14ac:dyDescent="0.3">
      <c r="A1" s="8" t="s">
        <v>80</v>
      </c>
      <c r="B1" t="s">
        <v>97</v>
      </c>
    </row>
    <row r="3" spans="1:5" x14ac:dyDescent="0.3">
      <c r="B3" s="8" t="s">
        <v>143</v>
      </c>
    </row>
    <row r="4" spans="1:5" x14ac:dyDescent="0.3">
      <c r="B4" t="s">
        <v>92</v>
      </c>
      <c r="D4" t="s">
        <v>147</v>
      </c>
      <c r="E4" t="s">
        <v>148</v>
      </c>
    </row>
    <row r="5" spans="1:5" x14ac:dyDescent="0.3">
      <c r="A5" s="8" t="s">
        <v>141</v>
      </c>
      <c r="B5" t="s">
        <v>145</v>
      </c>
      <c r="C5" t="s">
        <v>144</v>
      </c>
    </row>
    <row r="6" spans="1:5" x14ac:dyDescent="0.3">
      <c r="A6" s="9" t="s">
        <v>87</v>
      </c>
      <c r="B6" s="11">
        <v>2</v>
      </c>
      <c r="C6" s="11">
        <v>6</v>
      </c>
      <c r="D6" s="11">
        <v>2</v>
      </c>
      <c r="E6" s="11">
        <v>6</v>
      </c>
    </row>
    <row r="7" spans="1:5" x14ac:dyDescent="0.3">
      <c r="A7" s="9" t="s">
        <v>142</v>
      </c>
      <c r="B7" s="11">
        <v>2</v>
      </c>
      <c r="C7" s="11">
        <v>6</v>
      </c>
      <c r="D7" s="11">
        <v>2</v>
      </c>
      <c r="E7" s="11">
        <v>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F5751-384B-4AC0-8B77-B4224F97E924}">
  <dimension ref="A1:I7"/>
  <sheetViews>
    <sheetView workbookViewId="0"/>
  </sheetViews>
  <sheetFormatPr defaultRowHeight="14.4" x14ac:dyDescent="0.3"/>
  <cols>
    <col min="1" max="1" width="15.21875" bestFit="1" customWidth="1"/>
    <col min="2" max="2" width="15.5546875" bestFit="1" customWidth="1"/>
    <col min="3" max="3" width="14.88671875" bestFit="1" customWidth="1"/>
    <col min="4" max="4" width="13.21875" bestFit="1" customWidth="1"/>
    <col min="5" max="5" width="14.88671875" bestFit="1" customWidth="1"/>
    <col min="6" max="6" width="13.21875" bestFit="1" customWidth="1"/>
    <col min="7" max="7" width="14.88671875" bestFit="1" customWidth="1"/>
    <col min="8" max="8" width="18" bestFit="1" customWidth="1"/>
    <col min="9" max="9" width="19.6640625" bestFit="1" customWidth="1"/>
  </cols>
  <sheetData>
    <row r="1" spans="1:9" x14ac:dyDescent="0.3">
      <c r="A1" s="8" t="s">
        <v>80</v>
      </c>
      <c r="B1" t="s">
        <v>88</v>
      </c>
    </row>
    <row r="3" spans="1:9" x14ac:dyDescent="0.3">
      <c r="B3" s="8" t="s">
        <v>143</v>
      </c>
    </row>
    <row r="4" spans="1:9" x14ac:dyDescent="0.3">
      <c r="B4" t="s">
        <v>92</v>
      </c>
      <c r="D4" t="s">
        <v>16</v>
      </c>
      <c r="F4" t="s">
        <v>26</v>
      </c>
      <c r="H4" t="s">
        <v>147</v>
      </c>
      <c r="I4" t="s">
        <v>148</v>
      </c>
    </row>
    <row r="5" spans="1:9" x14ac:dyDescent="0.3">
      <c r="A5" s="8" t="s">
        <v>141</v>
      </c>
      <c r="B5" t="s">
        <v>145</v>
      </c>
      <c r="C5" t="s">
        <v>144</v>
      </c>
      <c r="D5" t="s">
        <v>145</v>
      </c>
      <c r="E5" t="s">
        <v>144</v>
      </c>
      <c r="F5" t="s">
        <v>145</v>
      </c>
      <c r="G5" t="s">
        <v>144</v>
      </c>
    </row>
    <row r="6" spans="1:9" x14ac:dyDescent="0.3">
      <c r="A6" s="9" t="s">
        <v>87</v>
      </c>
      <c r="B6" s="11">
        <v>2</v>
      </c>
      <c r="C6" s="11">
        <v>7</v>
      </c>
      <c r="D6" s="11">
        <v>1</v>
      </c>
      <c r="E6" s="11">
        <v>1</v>
      </c>
      <c r="F6" s="11">
        <v>2</v>
      </c>
      <c r="G6" s="11">
        <v>3</v>
      </c>
      <c r="H6" s="11">
        <v>5</v>
      </c>
      <c r="I6" s="11">
        <v>11</v>
      </c>
    </row>
    <row r="7" spans="1:9" x14ac:dyDescent="0.3">
      <c r="A7" s="9" t="s">
        <v>142</v>
      </c>
      <c r="B7" s="11">
        <v>2</v>
      </c>
      <c r="C7" s="11">
        <v>7</v>
      </c>
      <c r="D7" s="11">
        <v>1</v>
      </c>
      <c r="E7" s="11">
        <v>1</v>
      </c>
      <c r="F7" s="11">
        <v>2</v>
      </c>
      <c r="G7" s="11">
        <v>3</v>
      </c>
      <c r="H7" s="11">
        <v>5</v>
      </c>
      <c r="I7" s="11">
        <v>11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8CBA3-6F95-4896-A552-A4897A35F213}">
  <dimension ref="A1:E7"/>
  <sheetViews>
    <sheetView workbookViewId="0"/>
  </sheetViews>
  <sheetFormatPr defaultRowHeight="14.4" x14ac:dyDescent="0.3"/>
  <cols>
    <col min="1" max="1" width="15.21875" bestFit="1" customWidth="1"/>
    <col min="2" max="2" width="15.5546875" bestFit="1" customWidth="1"/>
    <col min="3" max="3" width="14.88671875" bestFit="1" customWidth="1"/>
    <col min="4" max="4" width="18" bestFit="1" customWidth="1"/>
    <col min="5" max="5" width="19.6640625" bestFit="1" customWidth="1"/>
  </cols>
  <sheetData>
    <row r="1" spans="1:5" x14ac:dyDescent="0.3">
      <c r="A1" s="8" t="s">
        <v>80</v>
      </c>
      <c r="B1" t="s">
        <v>108</v>
      </c>
    </row>
    <row r="3" spans="1:5" x14ac:dyDescent="0.3">
      <c r="B3" s="8" t="s">
        <v>143</v>
      </c>
    </row>
    <row r="4" spans="1:5" x14ac:dyDescent="0.3">
      <c r="B4" t="s">
        <v>16</v>
      </c>
      <c r="D4" t="s">
        <v>147</v>
      </c>
      <c r="E4" t="s">
        <v>148</v>
      </c>
    </row>
    <row r="5" spans="1:5" x14ac:dyDescent="0.3">
      <c r="A5" s="8" t="s">
        <v>141</v>
      </c>
      <c r="B5" t="s">
        <v>145</v>
      </c>
      <c r="C5" t="s">
        <v>144</v>
      </c>
    </row>
    <row r="6" spans="1:5" x14ac:dyDescent="0.3">
      <c r="A6" s="9" t="s">
        <v>87</v>
      </c>
      <c r="B6" s="11">
        <v>4</v>
      </c>
      <c r="C6" s="11">
        <v>17</v>
      </c>
      <c r="D6" s="11">
        <v>4</v>
      </c>
      <c r="E6" s="11">
        <v>17</v>
      </c>
    </row>
    <row r="7" spans="1:5" x14ac:dyDescent="0.3">
      <c r="A7" s="9" t="s">
        <v>142</v>
      </c>
      <c r="B7" s="11">
        <v>4</v>
      </c>
      <c r="C7" s="11">
        <v>17</v>
      </c>
      <c r="D7" s="11">
        <v>4</v>
      </c>
      <c r="E7" s="11">
        <v>17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360C2-68A7-4B9C-B91C-1E14750BBC8A}">
  <dimension ref="A1:G7"/>
  <sheetViews>
    <sheetView workbookViewId="0"/>
  </sheetViews>
  <sheetFormatPr defaultRowHeight="14.4" x14ac:dyDescent="0.3"/>
  <cols>
    <col min="1" max="1" width="15.21875" bestFit="1" customWidth="1"/>
    <col min="2" max="2" width="17.33203125" bestFit="1" customWidth="1"/>
    <col min="3" max="3" width="14.88671875" bestFit="1" customWidth="1"/>
    <col min="4" max="4" width="13.21875" bestFit="1" customWidth="1"/>
    <col min="5" max="5" width="14.88671875" bestFit="1" customWidth="1"/>
    <col min="6" max="6" width="18" bestFit="1" customWidth="1"/>
    <col min="7" max="7" width="19.6640625" bestFit="1" customWidth="1"/>
  </cols>
  <sheetData>
    <row r="1" spans="1:7" x14ac:dyDescent="0.3">
      <c r="A1" s="8" t="s">
        <v>80</v>
      </c>
      <c r="B1" t="s">
        <v>93</v>
      </c>
    </row>
    <row r="3" spans="1:7" x14ac:dyDescent="0.3">
      <c r="B3" s="8" t="s">
        <v>143</v>
      </c>
    </row>
    <row r="4" spans="1:7" x14ac:dyDescent="0.3">
      <c r="B4" t="s">
        <v>92</v>
      </c>
      <c r="D4" t="s">
        <v>26</v>
      </c>
      <c r="F4" t="s">
        <v>147</v>
      </c>
      <c r="G4" t="s">
        <v>148</v>
      </c>
    </row>
    <row r="5" spans="1:7" x14ac:dyDescent="0.3">
      <c r="A5" s="8" t="s">
        <v>141</v>
      </c>
      <c r="B5" t="s">
        <v>145</v>
      </c>
      <c r="C5" t="s">
        <v>144</v>
      </c>
      <c r="D5" t="s">
        <v>145</v>
      </c>
      <c r="E5" t="s">
        <v>144</v>
      </c>
    </row>
    <row r="6" spans="1:7" x14ac:dyDescent="0.3">
      <c r="A6" s="9" t="s">
        <v>87</v>
      </c>
      <c r="B6" s="11">
        <v>2</v>
      </c>
      <c r="C6" s="11">
        <v>2</v>
      </c>
      <c r="D6" s="11">
        <v>1</v>
      </c>
      <c r="E6" s="11">
        <v>1</v>
      </c>
      <c r="F6" s="11">
        <v>3</v>
      </c>
      <c r="G6" s="11">
        <v>3</v>
      </c>
    </row>
    <row r="7" spans="1:7" x14ac:dyDescent="0.3">
      <c r="A7" s="9" t="s">
        <v>142</v>
      </c>
      <c r="B7" s="11">
        <v>2</v>
      </c>
      <c r="C7" s="11">
        <v>2</v>
      </c>
      <c r="D7" s="11">
        <v>1</v>
      </c>
      <c r="E7" s="11">
        <v>1</v>
      </c>
      <c r="F7" s="11">
        <v>3</v>
      </c>
      <c r="G7" s="11">
        <v>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76B8D-04F6-45E3-B5BD-5DB8161EE69A}">
  <dimension ref="A1:I7"/>
  <sheetViews>
    <sheetView workbookViewId="0">
      <selection activeCell="C6" sqref="C6"/>
    </sheetView>
  </sheetViews>
  <sheetFormatPr defaultRowHeight="14.4" x14ac:dyDescent="0.3"/>
  <cols>
    <col min="1" max="1" width="15.21875" bestFit="1" customWidth="1"/>
    <col min="2" max="2" width="15.5546875" bestFit="1" customWidth="1"/>
    <col min="3" max="3" width="14.88671875" bestFit="1" customWidth="1"/>
    <col min="4" max="4" width="13.21875" bestFit="1" customWidth="1"/>
    <col min="5" max="5" width="14.88671875" bestFit="1" customWidth="1"/>
    <col min="6" max="6" width="13.21875" bestFit="1" customWidth="1"/>
    <col min="7" max="7" width="14.88671875" bestFit="1" customWidth="1"/>
    <col min="8" max="8" width="18" bestFit="1" customWidth="1"/>
    <col min="9" max="9" width="19.6640625" bestFit="1" customWidth="1"/>
  </cols>
  <sheetData>
    <row r="1" spans="1:9" x14ac:dyDescent="0.3">
      <c r="A1" s="8" t="s">
        <v>80</v>
      </c>
      <c r="B1" t="s">
        <v>146</v>
      </c>
    </row>
    <row r="3" spans="1:9" x14ac:dyDescent="0.3">
      <c r="B3" s="8" t="s">
        <v>143</v>
      </c>
    </row>
    <row r="4" spans="1:9" x14ac:dyDescent="0.3">
      <c r="B4" t="s">
        <v>92</v>
      </c>
      <c r="D4" t="s">
        <v>16</v>
      </c>
      <c r="F4" t="s">
        <v>26</v>
      </c>
      <c r="H4" t="s">
        <v>147</v>
      </c>
      <c r="I4" t="s">
        <v>148</v>
      </c>
    </row>
    <row r="5" spans="1:9" x14ac:dyDescent="0.3">
      <c r="A5" s="8" t="s">
        <v>141</v>
      </c>
      <c r="B5" t="s">
        <v>145</v>
      </c>
      <c r="C5" t="s">
        <v>144</v>
      </c>
      <c r="D5" t="s">
        <v>145</v>
      </c>
      <c r="E5" t="s">
        <v>144</v>
      </c>
      <c r="F5" t="s">
        <v>145</v>
      </c>
      <c r="G5" t="s">
        <v>144</v>
      </c>
    </row>
    <row r="6" spans="1:9" x14ac:dyDescent="0.3">
      <c r="A6" s="9" t="s">
        <v>87</v>
      </c>
      <c r="B6" s="11">
        <v>6</v>
      </c>
      <c r="C6" s="11">
        <v>15</v>
      </c>
      <c r="D6" s="11">
        <v>8</v>
      </c>
      <c r="E6" s="11">
        <v>24</v>
      </c>
      <c r="F6" s="11">
        <v>6</v>
      </c>
      <c r="G6" s="11">
        <v>11</v>
      </c>
      <c r="H6" s="11">
        <v>20</v>
      </c>
      <c r="I6" s="11">
        <v>50</v>
      </c>
    </row>
    <row r="7" spans="1:9" x14ac:dyDescent="0.3">
      <c r="A7" s="9" t="s">
        <v>142</v>
      </c>
      <c r="B7" s="11">
        <v>6</v>
      </c>
      <c r="C7" s="11">
        <v>15</v>
      </c>
      <c r="D7" s="11">
        <v>8</v>
      </c>
      <c r="E7" s="11">
        <v>24</v>
      </c>
      <c r="F7" s="11">
        <v>6</v>
      </c>
      <c r="G7" s="11">
        <v>11</v>
      </c>
      <c r="H7" s="11">
        <v>20</v>
      </c>
      <c r="I7" s="11">
        <v>50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2F52E-8D24-49C7-90EA-4CADAF7B9004}">
  <dimension ref="A1:D6"/>
  <sheetViews>
    <sheetView workbookViewId="0"/>
  </sheetViews>
  <sheetFormatPr defaultRowHeight="14.4" x14ac:dyDescent="0.3"/>
  <cols>
    <col min="1" max="1" width="15.21875" bestFit="1" customWidth="1"/>
    <col min="2" max="2" width="17.33203125" bestFit="1" customWidth="1"/>
    <col min="3" max="3" width="6" bestFit="1" customWidth="1"/>
    <col min="4" max="4" width="10.77734375" bestFit="1" customWidth="1"/>
  </cols>
  <sheetData>
    <row r="1" spans="1:4" x14ac:dyDescent="0.3">
      <c r="A1" s="8" t="s">
        <v>80</v>
      </c>
      <c r="B1" t="s">
        <v>93</v>
      </c>
    </row>
    <row r="3" spans="1:4" x14ac:dyDescent="0.3">
      <c r="A3" s="8" t="s">
        <v>145</v>
      </c>
      <c r="B3" s="8" t="s">
        <v>143</v>
      </c>
    </row>
    <row r="4" spans="1:4" x14ac:dyDescent="0.3">
      <c r="A4" s="8" t="s">
        <v>141</v>
      </c>
      <c r="B4" t="s">
        <v>92</v>
      </c>
      <c r="C4" t="s">
        <v>26</v>
      </c>
      <c r="D4" t="s">
        <v>142</v>
      </c>
    </row>
    <row r="5" spans="1:4" x14ac:dyDescent="0.3">
      <c r="A5" s="9" t="s">
        <v>87</v>
      </c>
      <c r="B5" s="11">
        <v>2</v>
      </c>
      <c r="C5" s="11">
        <v>1</v>
      </c>
      <c r="D5" s="11">
        <v>3</v>
      </c>
    </row>
    <row r="6" spans="1:4" x14ac:dyDescent="0.3">
      <c r="A6" s="9" t="s">
        <v>142</v>
      </c>
      <c r="B6" s="11">
        <v>2</v>
      </c>
      <c r="C6" s="11">
        <v>1</v>
      </c>
      <c r="D6" s="11">
        <v>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9D8C8-6742-4255-B421-208324881465}">
  <dimension ref="A1:Q21"/>
  <sheetViews>
    <sheetView tabSelected="1" topLeftCell="K1" zoomScale="67" workbookViewId="0">
      <selection activeCell="O31" sqref="O31"/>
    </sheetView>
  </sheetViews>
  <sheetFormatPr defaultRowHeight="14.4" x14ac:dyDescent="0.3"/>
  <cols>
    <col min="1" max="1" width="10.5546875" style="3" bestFit="1" customWidth="1"/>
    <col min="2" max="2" width="13.88671875" customWidth="1"/>
    <col min="3" max="3" width="11.5546875" customWidth="1"/>
    <col min="6" max="7" width="17.77734375" customWidth="1"/>
    <col min="8" max="8" width="8.33203125" bestFit="1" customWidth="1"/>
    <col min="9" max="10" width="14.33203125" customWidth="1"/>
    <col min="11" max="11" width="17.77734375" customWidth="1"/>
    <col min="13" max="13" width="16" bestFit="1" customWidth="1"/>
    <col min="14" max="14" width="16.21875" bestFit="1" customWidth="1"/>
    <col min="15" max="15" width="5.88671875" bestFit="1" customWidth="1"/>
    <col min="16" max="16" width="6" bestFit="1" customWidth="1"/>
    <col min="17" max="17" width="10.77734375" bestFit="1" customWidth="1"/>
    <col min="18" max="19" width="16.88671875" bestFit="1" customWidth="1"/>
  </cols>
  <sheetData>
    <row r="1" spans="1:17" x14ac:dyDescent="0.3">
      <c r="A1" s="6" t="s">
        <v>76</v>
      </c>
      <c r="B1" s="7" t="s">
        <v>77</v>
      </c>
      <c r="C1" s="7" t="s">
        <v>78</v>
      </c>
      <c r="D1" s="7" t="s">
        <v>79</v>
      </c>
      <c r="E1" s="7" t="s">
        <v>2</v>
      </c>
      <c r="F1" s="7" t="s">
        <v>80</v>
      </c>
      <c r="G1" s="7" t="s">
        <v>81</v>
      </c>
      <c r="H1" s="7" t="s">
        <v>82</v>
      </c>
      <c r="I1" s="7" t="s">
        <v>83</v>
      </c>
      <c r="J1" s="7" t="s">
        <v>84</v>
      </c>
      <c r="M1" s="8" t="s">
        <v>80</v>
      </c>
      <c r="N1" t="s">
        <v>146</v>
      </c>
    </row>
    <row r="2" spans="1:17" x14ac:dyDescent="0.3">
      <c r="A2" s="5">
        <v>45660</v>
      </c>
      <c r="B2" s="1" t="s">
        <v>85</v>
      </c>
      <c r="C2" s="1" t="s">
        <v>86</v>
      </c>
      <c r="D2" s="1" t="s">
        <v>87</v>
      </c>
      <c r="E2" s="1" t="s">
        <v>26</v>
      </c>
      <c r="F2" s="1" t="s">
        <v>88</v>
      </c>
      <c r="G2" s="1" t="s">
        <v>89</v>
      </c>
      <c r="H2" s="1">
        <v>2</v>
      </c>
      <c r="I2" s="1">
        <v>15</v>
      </c>
      <c r="J2" s="1">
        <v>30</v>
      </c>
    </row>
    <row r="3" spans="1:17" x14ac:dyDescent="0.3">
      <c r="A3" s="5">
        <v>45662</v>
      </c>
      <c r="B3" s="1" t="s">
        <v>90</v>
      </c>
      <c r="C3" s="1" t="s">
        <v>91</v>
      </c>
      <c r="D3" s="1" t="s">
        <v>87</v>
      </c>
      <c r="E3" s="1" t="s">
        <v>92</v>
      </c>
      <c r="F3" s="1" t="s">
        <v>93</v>
      </c>
      <c r="G3" s="1" t="s">
        <v>94</v>
      </c>
      <c r="H3" s="1">
        <v>1</v>
      </c>
      <c r="I3" s="1">
        <v>28</v>
      </c>
      <c r="J3" s="1">
        <v>28</v>
      </c>
      <c r="M3" s="8" t="s">
        <v>145</v>
      </c>
      <c r="N3" s="8" t="s">
        <v>143</v>
      </c>
    </row>
    <row r="4" spans="1:17" x14ac:dyDescent="0.3">
      <c r="A4" s="5">
        <v>45663</v>
      </c>
      <c r="B4" s="1" t="s">
        <v>95</v>
      </c>
      <c r="C4" s="1" t="s">
        <v>96</v>
      </c>
      <c r="D4" s="1" t="s">
        <v>87</v>
      </c>
      <c r="E4" s="1" t="s">
        <v>16</v>
      </c>
      <c r="F4" s="1" t="s">
        <v>97</v>
      </c>
      <c r="G4" s="1" t="s">
        <v>98</v>
      </c>
      <c r="H4" s="1">
        <v>3</v>
      </c>
      <c r="I4" s="1">
        <v>22</v>
      </c>
      <c r="J4" s="1">
        <v>66</v>
      </c>
      <c r="M4" s="8" t="s">
        <v>141</v>
      </c>
      <c r="N4" t="s">
        <v>92</v>
      </c>
      <c r="O4" t="s">
        <v>16</v>
      </c>
      <c r="P4" t="s">
        <v>26</v>
      </c>
      <c r="Q4" t="s">
        <v>142</v>
      </c>
    </row>
    <row r="5" spans="1:17" x14ac:dyDescent="0.3">
      <c r="A5" s="5">
        <v>45664</v>
      </c>
      <c r="B5" s="1" t="s">
        <v>99</v>
      </c>
      <c r="C5" s="1" t="s">
        <v>100</v>
      </c>
      <c r="D5" s="1" t="s">
        <v>87</v>
      </c>
      <c r="E5" s="1" t="s">
        <v>16</v>
      </c>
      <c r="F5" s="1" t="s">
        <v>88</v>
      </c>
      <c r="G5" s="1" t="s">
        <v>101</v>
      </c>
      <c r="H5" s="1">
        <v>1</v>
      </c>
      <c r="I5" s="1">
        <v>18</v>
      </c>
      <c r="J5" s="1">
        <v>18</v>
      </c>
      <c r="M5" s="9" t="s">
        <v>87</v>
      </c>
      <c r="N5" s="11">
        <v>6</v>
      </c>
      <c r="O5" s="11">
        <v>8</v>
      </c>
      <c r="P5" s="11">
        <v>6</v>
      </c>
      <c r="Q5" s="11">
        <v>20</v>
      </c>
    </row>
    <row r="6" spans="1:17" x14ac:dyDescent="0.3">
      <c r="A6" s="5">
        <v>45665</v>
      </c>
      <c r="B6" s="1" t="s">
        <v>102</v>
      </c>
      <c r="C6" s="1" t="s">
        <v>103</v>
      </c>
      <c r="D6" s="1" t="s">
        <v>87</v>
      </c>
      <c r="E6" s="1" t="s">
        <v>26</v>
      </c>
      <c r="F6" s="1" t="s">
        <v>104</v>
      </c>
      <c r="G6" s="1" t="s">
        <v>105</v>
      </c>
      <c r="H6" s="1">
        <v>2</v>
      </c>
      <c r="I6" s="1">
        <v>12</v>
      </c>
      <c r="J6" s="1">
        <v>24</v>
      </c>
      <c r="M6" s="9" t="s">
        <v>142</v>
      </c>
      <c r="N6" s="11">
        <v>6</v>
      </c>
      <c r="O6" s="11">
        <v>8</v>
      </c>
      <c r="P6" s="11">
        <v>6</v>
      </c>
      <c r="Q6" s="11">
        <v>20</v>
      </c>
    </row>
    <row r="7" spans="1:17" x14ac:dyDescent="0.3">
      <c r="A7" s="5">
        <v>45667</v>
      </c>
      <c r="B7" s="1" t="s">
        <v>106</v>
      </c>
      <c r="C7" s="1" t="s">
        <v>107</v>
      </c>
      <c r="D7" s="1" t="s">
        <v>87</v>
      </c>
      <c r="E7" s="1" t="s">
        <v>16</v>
      </c>
      <c r="F7" s="1" t="s">
        <v>108</v>
      </c>
      <c r="G7" s="1" t="s">
        <v>109</v>
      </c>
      <c r="H7" s="1">
        <v>4</v>
      </c>
      <c r="I7" s="1">
        <v>4</v>
      </c>
      <c r="J7" s="1">
        <v>16</v>
      </c>
    </row>
    <row r="8" spans="1:17" x14ac:dyDescent="0.3">
      <c r="A8" s="5">
        <v>45668</v>
      </c>
      <c r="B8" s="1" t="s">
        <v>110</v>
      </c>
      <c r="C8" s="1" t="s">
        <v>111</v>
      </c>
      <c r="D8" s="1" t="s">
        <v>87</v>
      </c>
      <c r="E8" s="1" t="s">
        <v>92</v>
      </c>
      <c r="F8" s="1" t="s">
        <v>97</v>
      </c>
      <c r="G8" s="1" t="s">
        <v>112</v>
      </c>
      <c r="H8" s="1">
        <v>5</v>
      </c>
      <c r="I8" s="1">
        <v>10</v>
      </c>
      <c r="J8" s="1">
        <v>50</v>
      </c>
    </row>
    <row r="9" spans="1:17" x14ac:dyDescent="0.3">
      <c r="A9" s="5">
        <v>45670</v>
      </c>
      <c r="B9" s="1" t="s">
        <v>113</v>
      </c>
      <c r="C9" s="1" t="s">
        <v>114</v>
      </c>
      <c r="D9" s="1" t="s">
        <v>87</v>
      </c>
      <c r="E9" s="1" t="s">
        <v>92</v>
      </c>
      <c r="F9" s="1" t="s">
        <v>88</v>
      </c>
      <c r="G9" s="1" t="s">
        <v>115</v>
      </c>
      <c r="H9" s="1">
        <v>3</v>
      </c>
      <c r="I9" s="1">
        <v>8</v>
      </c>
      <c r="J9" s="1">
        <v>24</v>
      </c>
    </row>
    <row r="10" spans="1:17" x14ac:dyDescent="0.3">
      <c r="A10" s="5">
        <v>45671</v>
      </c>
      <c r="B10" s="1" t="s">
        <v>116</v>
      </c>
      <c r="C10" s="1" t="s">
        <v>86</v>
      </c>
      <c r="D10" s="1" t="s">
        <v>87</v>
      </c>
      <c r="E10" s="1" t="s">
        <v>26</v>
      </c>
      <c r="F10" s="1" t="s">
        <v>93</v>
      </c>
      <c r="G10" s="1" t="s">
        <v>117</v>
      </c>
      <c r="H10" s="1">
        <v>1</v>
      </c>
      <c r="I10" s="1">
        <v>45</v>
      </c>
      <c r="J10" s="1">
        <v>45</v>
      </c>
    </row>
    <row r="11" spans="1:17" x14ac:dyDescent="0.3">
      <c r="A11" s="5">
        <v>45673</v>
      </c>
      <c r="B11" s="1" t="s">
        <v>118</v>
      </c>
      <c r="C11" s="1" t="s">
        <v>119</v>
      </c>
      <c r="D11" s="1" t="s">
        <v>87</v>
      </c>
      <c r="E11" s="1" t="s">
        <v>16</v>
      </c>
      <c r="F11" s="1" t="s">
        <v>104</v>
      </c>
      <c r="G11" s="1" t="s">
        <v>120</v>
      </c>
      <c r="H11" s="1">
        <v>2</v>
      </c>
      <c r="I11" s="1">
        <v>6</v>
      </c>
      <c r="J11" s="1">
        <v>12</v>
      </c>
    </row>
    <row r="12" spans="1:17" x14ac:dyDescent="0.3">
      <c r="A12" s="5">
        <v>45674</v>
      </c>
      <c r="B12" s="1" t="s">
        <v>121</v>
      </c>
      <c r="C12" s="1" t="s">
        <v>96</v>
      </c>
      <c r="D12" s="1" t="s">
        <v>87</v>
      </c>
      <c r="E12" s="1" t="s">
        <v>16</v>
      </c>
      <c r="F12" s="1" t="s">
        <v>108</v>
      </c>
      <c r="G12" s="1" t="s">
        <v>122</v>
      </c>
      <c r="H12" s="1">
        <v>6</v>
      </c>
      <c r="I12" s="1">
        <v>2</v>
      </c>
      <c r="J12" s="1">
        <v>12</v>
      </c>
    </row>
    <row r="13" spans="1:17" x14ac:dyDescent="0.3">
      <c r="A13" s="5">
        <v>45676</v>
      </c>
      <c r="B13" s="1" t="s">
        <v>123</v>
      </c>
      <c r="C13" s="1" t="s">
        <v>91</v>
      </c>
      <c r="D13" s="1" t="s">
        <v>87</v>
      </c>
      <c r="E13" s="1" t="s">
        <v>92</v>
      </c>
      <c r="F13" s="1" t="s">
        <v>97</v>
      </c>
      <c r="G13" s="1" t="s">
        <v>124</v>
      </c>
      <c r="H13" s="1">
        <v>1</v>
      </c>
      <c r="I13" s="1">
        <v>30</v>
      </c>
      <c r="J13" s="1">
        <v>30</v>
      </c>
    </row>
    <row r="14" spans="1:17" x14ac:dyDescent="0.3">
      <c r="A14" s="5">
        <v>45677</v>
      </c>
      <c r="B14" s="1" t="s">
        <v>125</v>
      </c>
      <c r="C14" s="1" t="s">
        <v>86</v>
      </c>
      <c r="D14" s="1" t="s">
        <v>87</v>
      </c>
      <c r="E14" s="1" t="s">
        <v>26</v>
      </c>
      <c r="F14" s="1" t="s">
        <v>88</v>
      </c>
      <c r="G14" s="1" t="s">
        <v>126</v>
      </c>
      <c r="H14" s="1">
        <v>1</v>
      </c>
      <c r="I14" s="1">
        <v>55</v>
      </c>
      <c r="J14" s="1">
        <v>55</v>
      </c>
    </row>
    <row r="15" spans="1:17" x14ac:dyDescent="0.3">
      <c r="A15" s="5">
        <v>45678</v>
      </c>
      <c r="B15" s="1" t="s">
        <v>127</v>
      </c>
      <c r="C15" s="1" t="s">
        <v>103</v>
      </c>
      <c r="D15" s="1" t="s">
        <v>87</v>
      </c>
      <c r="E15" s="1" t="s">
        <v>26</v>
      </c>
      <c r="F15" s="1" t="s">
        <v>104</v>
      </c>
      <c r="G15" s="1" t="s">
        <v>128</v>
      </c>
      <c r="H15" s="1">
        <v>3</v>
      </c>
      <c r="I15" s="1">
        <v>7</v>
      </c>
      <c r="J15" s="1">
        <v>21</v>
      </c>
    </row>
    <row r="16" spans="1:17" x14ac:dyDescent="0.3">
      <c r="A16" s="5">
        <v>45680</v>
      </c>
      <c r="B16" s="1" t="s">
        <v>129</v>
      </c>
      <c r="C16" s="1" t="s">
        <v>100</v>
      </c>
      <c r="D16" s="1" t="s">
        <v>87</v>
      </c>
      <c r="E16" s="1" t="s">
        <v>16</v>
      </c>
      <c r="F16" s="1" t="s">
        <v>108</v>
      </c>
      <c r="G16" s="1" t="s">
        <v>130</v>
      </c>
      <c r="H16" s="1">
        <v>2</v>
      </c>
      <c r="I16" s="1">
        <v>10</v>
      </c>
      <c r="J16" s="1">
        <v>20</v>
      </c>
    </row>
    <row r="17" spans="1:10" x14ac:dyDescent="0.3">
      <c r="A17" s="5">
        <v>45681</v>
      </c>
      <c r="B17" s="1" t="s">
        <v>131</v>
      </c>
      <c r="C17" s="1" t="s">
        <v>107</v>
      </c>
      <c r="D17" s="1" t="s">
        <v>87</v>
      </c>
      <c r="E17" s="1" t="s">
        <v>16</v>
      </c>
      <c r="F17" s="1" t="s">
        <v>97</v>
      </c>
      <c r="G17" s="1" t="s">
        <v>132</v>
      </c>
      <c r="H17" s="1">
        <v>1</v>
      </c>
      <c r="I17" s="1">
        <v>60</v>
      </c>
      <c r="J17" s="1">
        <v>60</v>
      </c>
    </row>
    <row r="18" spans="1:10" x14ac:dyDescent="0.3">
      <c r="A18" s="5">
        <v>45682</v>
      </c>
      <c r="B18" s="1" t="s">
        <v>133</v>
      </c>
      <c r="C18" s="1" t="s">
        <v>111</v>
      </c>
      <c r="D18" s="1" t="s">
        <v>87</v>
      </c>
      <c r="E18" s="1" t="s">
        <v>92</v>
      </c>
      <c r="F18" s="1" t="s">
        <v>88</v>
      </c>
      <c r="G18" s="1" t="s">
        <v>134</v>
      </c>
      <c r="H18" s="1">
        <v>4</v>
      </c>
      <c r="I18" s="1">
        <v>5</v>
      </c>
      <c r="J18" s="1">
        <v>20</v>
      </c>
    </row>
    <row r="19" spans="1:10" x14ac:dyDescent="0.3">
      <c r="A19" s="5">
        <v>45684</v>
      </c>
      <c r="B19" s="1" t="s">
        <v>135</v>
      </c>
      <c r="C19" s="1" t="s">
        <v>114</v>
      </c>
      <c r="D19" s="1" t="s">
        <v>87</v>
      </c>
      <c r="E19" s="1" t="s">
        <v>92</v>
      </c>
      <c r="F19" s="1" t="s">
        <v>93</v>
      </c>
      <c r="G19" s="1" t="s">
        <v>136</v>
      </c>
      <c r="H19" s="1">
        <v>1</v>
      </c>
      <c r="I19" s="1">
        <v>25</v>
      </c>
      <c r="J19" s="1">
        <v>25</v>
      </c>
    </row>
    <row r="20" spans="1:10" x14ac:dyDescent="0.3">
      <c r="A20" s="5">
        <v>45685</v>
      </c>
      <c r="B20" s="1" t="s">
        <v>137</v>
      </c>
      <c r="C20" s="1" t="s">
        <v>86</v>
      </c>
      <c r="D20" s="1" t="s">
        <v>87</v>
      </c>
      <c r="E20" s="1" t="s">
        <v>26</v>
      </c>
      <c r="F20" s="1" t="s">
        <v>104</v>
      </c>
      <c r="G20" s="1" t="s">
        <v>138</v>
      </c>
      <c r="H20" s="1">
        <v>2</v>
      </c>
      <c r="I20" s="1">
        <v>9</v>
      </c>
      <c r="J20" s="1">
        <v>18</v>
      </c>
    </row>
    <row r="21" spans="1:10" x14ac:dyDescent="0.3">
      <c r="A21" s="5">
        <v>45686</v>
      </c>
      <c r="B21" s="1" t="s">
        <v>139</v>
      </c>
      <c r="C21" s="1" t="s">
        <v>96</v>
      </c>
      <c r="D21" s="1" t="s">
        <v>87</v>
      </c>
      <c r="E21" s="1" t="s">
        <v>16</v>
      </c>
      <c r="F21" s="1" t="s">
        <v>108</v>
      </c>
      <c r="G21" s="1" t="s">
        <v>140</v>
      </c>
      <c r="H21" s="1">
        <v>5</v>
      </c>
      <c r="I21" s="1">
        <v>1.5</v>
      </c>
      <c r="J21" s="1">
        <v>7.5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SalesData</vt:lpstr>
      <vt:lpstr>Beauty</vt:lpstr>
      <vt:lpstr>Clothing</vt:lpstr>
      <vt:lpstr>Electronics</vt:lpstr>
      <vt:lpstr>Sheet13</vt:lpstr>
      <vt:lpstr>Detail1</vt:lpstr>
      <vt:lpstr>Beauty (2)</vt:lpstr>
      <vt:lpstr>Clothing (2)</vt:lpstr>
      <vt:lpstr>Electronics (2)</vt:lpstr>
      <vt:lpstr>Groceries (2)</vt:lpstr>
      <vt:lpstr>Home Appliances (2)</vt:lpstr>
      <vt:lpstr>Groceries</vt:lpstr>
      <vt:lpstr>Home Appliances</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BHUWAN ALE</cp:lastModifiedBy>
  <dcterms:created xsi:type="dcterms:W3CDTF">2025-11-30T00:15:39Z</dcterms:created>
  <dcterms:modified xsi:type="dcterms:W3CDTF">2025-12-01T00:37:13Z</dcterms:modified>
</cp:coreProperties>
</file>